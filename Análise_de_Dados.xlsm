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gnai\Downloads\ProjetoEGI\"/>
    </mc:Choice>
  </mc:AlternateContent>
  <xr:revisionPtr revIDLastSave="0" documentId="13_ncr:1_{78FA797F-F7DD-4931-8A1C-5F3B0D5C4A93}" xr6:coauthVersionLast="47" xr6:coauthVersionMax="47" xr10:uidLastSave="{00000000-0000-0000-0000-000000000000}"/>
  <bookViews>
    <workbookView minimized="1" xWindow="3860" yWindow="2040" windowWidth="14400" windowHeight="7360" activeTab="2" xr2:uid="{9A3012D5-481D-48C5-8FB0-6316025C50D1}"/>
  </bookViews>
  <sheets>
    <sheet name="SimpleData" sheetId="5" r:id="rId1"/>
    <sheet name="ProcesamentoDados" sheetId="1" r:id="rId2"/>
    <sheet name="Consulta de dados" sheetId="3" r:id="rId3"/>
  </sheets>
  <definedNames>
    <definedName name="_xlnm._FilterDatabase" localSheetId="0" hidden="1">SimpleData!$A:$A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9" i="1" l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B9" i="1"/>
  <c r="AD9" i="1"/>
  <c r="AE9" i="1"/>
  <c r="AA9" i="1" s="1"/>
  <c r="AF9" i="1"/>
  <c r="AG9" i="1"/>
  <c r="AH9" i="1"/>
  <c r="AI9" i="1"/>
  <c r="AJ9" i="1"/>
  <c r="AB10" i="1"/>
  <c r="AD10" i="1"/>
  <c r="AE10" i="1"/>
  <c r="AF10" i="1"/>
  <c r="AG10" i="1"/>
  <c r="AH10" i="1"/>
  <c r="AI10" i="1"/>
  <c r="AJ10" i="1"/>
  <c r="AB11" i="1"/>
  <c r="AD11" i="1"/>
  <c r="AE11" i="1"/>
  <c r="AF11" i="1"/>
  <c r="AG11" i="1"/>
  <c r="AH11" i="1"/>
  <c r="AI11" i="1"/>
  <c r="AJ11" i="1"/>
  <c r="AB12" i="1"/>
  <c r="AD12" i="1"/>
  <c r="AE12" i="1"/>
  <c r="AF12" i="1"/>
  <c r="AG12" i="1"/>
  <c r="AH12" i="1"/>
  <c r="AI12" i="1"/>
  <c r="AJ12" i="1"/>
  <c r="AB13" i="1"/>
  <c r="AD13" i="1"/>
  <c r="AE13" i="1"/>
  <c r="AF13" i="1"/>
  <c r="AG13" i="1"/>
  <c r="AH13" i="1"/>
  <c r="AI13" i="1"/>
  <c r="AJ13" i="1"/>
  <c r="AB14" i="1"/>
  <c r="AD14" i="1"/>
  <c r="AE14" i="1"/>
  <c r="AF14" i="1"/>
  <c r="AG14" i="1"/>
  <c r="AH14" i="1"/>
  <c r="AI14" i="1"/>
  <c r="AJ14" i="1"/>
  <c r="AB15" i="1"/>
  <c r="AD15" i="1"/>
  <c r="AE15" i="1"/>
  <c r="AF15" i="1"/>
  <c r="AG15" i="1"/>
  <c r="AH15" i="1"/>
  <c r="AI15" i="1"/>
  <c r="AJ15" i="1"/>
  <c r="AB16" i="1"/>
  <c r="AD16" i="1"/>
  <c r="AE16" i="1"/>
  <c r="AF16" i="1"/>
  <c r="AG16" i="1"/>
  <c r="AH16" i="1"/>
  <c r="AI16" i="1"/>
  <c r="AJ16" i="1"/>
  <c r="AB17" i="1"/>
  <c r="AD17" i="1"/>
  <c r="AE17" i="1"/>
  <c r="AF17" i="1"/>
  <c r="AG17" i="1"/>
  <c r="AH17" i="1"/>
  <c r="AI17" i="1"/>
  <c r="AJ17" i="1"/>
  <c r="AB18" i="1"/>
  <c r="AD18" i="1"/>
  <c r="AE18" i="1"/>
  <c r="AF18" i="1"/>
  <c r="AG18" i="1"/>
  <c r="AH18" i="1"/>
  <c r="AI18" i="1"/>
  <c r="AJ18" i="1"/>
  <c r="AB19" i="1"/>
  <c r="AD19" i="1"/>
  <c r="AE19" i="1"/>
  <c r="AF19" i="1"/>
  <c r="AG19" i="1"/>
  <c r="AH19" i="1"/>
  <c r="AI19" i="1"/>
  <c r="AJ19" i="1"/>
  <c r="AB20" i="1"/>
  <c r="AD20" i="1"/>
  <c r="AE20" i="1"/>
  <c r="AF20" i="1"/>
  <c r="AG20" i="1"/>
  <c r="AH20" i="1"/>
  <c r="AI20" i="1"/>
  <c r="AJ20" i="1"/>
  <c r="AB21" i="1"/>
  <c r="AD21" i="1"/>
  <c r="AE21" i="1"/>
  <c r="AF21" i="1"/>
  <c r="AG21" i="1"/>
  <c r="AH21" i="1"/>
  <c r="AI21" i="1"/>
  <c r="AJ21" i="1"/>
  <c r="AB22" i="1"/>
  <c r="AD22" i="1"/>
  <c r="AE22" i="1"/>
  <c r="AF22" i="1"/>
  <c r="AG22" i="1"/>
  <c r="AH22" i="1"/>
  <c r="AI22" i="1"/>
  <c r="AJ22" i="1"/>
  <c r="AB23" i="1"/>
  <c r="AD23" i="1"/>
  <c r="AE23" i="1"/>
  <c r="AF23" i="1"/>
  <c r="AG23" i="1"/>
  <c r="AH23" i="1"/>
  <c r="AI23" i="1"/>
  <c r="AJ23" i="1"/>
  <c r="AB24" i="1"/>
  <c r="AD24" i="1"/>
  <c r="AE24" i="1"/>
  <c r="AF24" i="1"/>
  <c r="AG24" i="1"/>
  <c r="AH24" i="1"/>
  <c r="AI24" i="1"/>
  <c r="AJ24" i="1"/>
  <c r="AB25" i="1"/>
  <c r="AD25" i="1"/>
  <c r="AE25" i="1"/>
  <c r="AF25" i="1"/>
  <c r="AG25" i="1"/>
  <c r="AH25" i="1"/>
  <c r="AI25" i="1"/>
  <c r="AJ25" i="1"/>
  <c r="AB26" i="1"/>
  <c r="AD26" i="1"/>
  <c r="AE26" i="1"/>
  <c r="AF26" i="1"/>
  <c r="AG26" i="1"/>
  <c r="AH26" i="1"/>
  <c r="AI26" i="1"/>
  <c r="AJ26" i="1"/>
  <c r="AB27" i="1"/>
  <c r="AD27" i="1"/>
  <c r="AE27" i="1"/>
  <c r="AF27" i="1"/>
  <c r="AG27" i="1"/>
  <c r="AH27" i="1"/>
  <c r="AI27" i="1"/>
  <c r="AJ27" i="1"/>
  <c r="AB28" i="1"/>
  <c r="AD28" i="1"/>
  <c r="AE28" i="1"/>
  <c r="AF28" i="1"/>
  <c r="AG28" i="1"/>
  <c r="AH28" i="1"/>
  <c r="AI28" i="1"/>
  <c r="AJ28" i="1"/>
  <c r="AB29" i="1"/>
  <c r="AD29" i="1"/>
  <c r="AE29" i="1"/>
  <c r="AF29" i="1"/>
  <c r="AG29" i="1"/>
  <c r="AH29" i="1"/>
  <c r="AI29" i="1"/>
  <c r="AJ29" i="1"/>
  <c r="AB30" i="1"/>
  <c r="AD30" i="1"/>
  <c r="AE30" i="1"/>
  <c r="AF30" i="1"/>
  <c r="AG30" i="1"/>
  <c r="AH30" i="1"/>
  <c r="AI30" i="1"/>
  <c r="AJ30" i="1"/>
  <c r="AB31" i="1"/>
  <c r="AD31" i="1"/>
  <c r="AE31" i="1"/>
  <c r="AF31" i="1"/>
  <c r="AG31" i="1"/>
  <c r="AH31" i="1"/>
  <c r="AI31" i="1"/>
  <c r="AJ31" i="1"/>
  <c r="AB32" i="1"/>
  <c r="AD32" i="1"/>
  <c r="AE32" i="1"/>
  <c r="AF32" i="1"/>
  <c r="AG32" i="1"/>
  <c r="AH32" i="1"/>
  <c r="AI32" i="1"/>
  <c r="AJ32" i="1"/>
  <c r="AB33" i="1"/>
  <c r="AD33" i="1"/>
  <c r="AE33" i="1"/>
  <c r="AF33" i="1"/>
  <c r="AG33" i="1"/>
  <c r="AH33" i="1"/>
  <c r="AI33" i="1"/>
  <c r="AJ33" i="1"/>
  <c r="AB34" i="1"/>
  <c r="AD34" i="1"/>
  <c r="AE34" i="1"/>
  <c r="AF34" i="1"/>
  <c r="AG34" i="1"/>
  <c r="AH34" i="1"/>
  <c r="AI34" i="1"/>
  <c r="AJ34" i="1"/>
  <c r="AB35" i="1"/>
  <c r="AD35" i="1"/>
  <c r="AE35" i="1"/>
  <c r="AF35" i="1"/>
  <c r="AG35" i="1"/>
  <c r="AH35" i="1"/>
  <c r="AI35" i="1"/>
  <c r="AJ35" i="1"/>
  <c r="AB36" i="1"/>
  <c r="AD36" i="1"/>
  <c r="AE36" i="1"/>
  <c r="AF36" i="1"/>
  <c r="AG36" i="1"/>
  <c r="AH36" i="1"/>
  <c r="AI36" i="1"/>
  <c r="AJ36" i="1"/>
  <c r="AB37" i="1"/>
  <c r="AD37" i="1"/>
  <c r="AE37" i="1"/>
  <c r="AF37" i="1"/>
  <c r="AG37" i="1"/>
  <c r="AH37" i="1"/>
  <c r="AI37" i="1"/>
  <c r="AJ37" i="1"/>
  <c r="AB38" i="1"/>
  <c r="AD38" i="1"/>
  <c r="AE38" i="1"/>
  <c r="AF38" i="1"/>
  <c r="AG38" i="1"/>
  <c r="AH38" i="1"/>
  <c r="AI38" i="1"/>
  <c r="AJ38" i="1"/>
  <c r="AB39" i="1"/>
  <c r="AD39" i="1"/>
  <c r="AE39" i="1"/>
  <c r="AF39" i="1"/>
  <c r="AG39" i="1"/>
  <c r="AH39" i="1"/>
  <c r="AI39" i="1"/>
  <c r="AJ39" i="1"/>
  <c r="AB40" i="1"/>
  <c r="AD40" i="1"/>
  <c r="AE40" i="1"/>
  <c r="AF40" i="1"/>
  <c r="AG40" i="1"/>
  <c r="AH40" i="1"/>
  <c r="AI40" i="1"/>
  <c r="AJ40" i="1"/>
  <c r="AB41" i="1"/>
  <c r="AD41" i="1"/>
  <c r="AE41" i="1"/>
  <c r="AF41" i="1"/>
  <c r="AG41" i="1"/>
  <c r="AH41" i="1"/>
  <c r="AI41" i="1"/>
  <c r="AJ41" i="1"/>
  <c r="AB42" i="1"/>
  <c r="AD42" i="1"/>
  <c r="AE42" i="1"/>
  <c r="AF42" i="1"/>
  <c r="AG42" i="1"/>
  <c r="AH42" i="1"/>
  <c r="AI42" i="1"/>
  <c r="AJ42" i="1"/>
  <c r="AB43" i="1"/>
  <c r="AD43" i="1"/>
  <c r="AE43" i="1"/>
  <c r="AF43" i="1"/>
  <c r="AG43" i="1"/>
  <c r="AH43" i="1"/>
  <c r="AI43" i="1"/>
  <c r="AJ43" i="1"/>
  <c r="AB44" i="1"/>
  <c r="AD44" i="1"/>
  <c r="AE44" i="1"/>
  <c r="AF44" i="1"/>
  <c r="AG44" i="1"/>
  <c r="AH44" i="1"/>
  <c r="AI44" i="1"/>
  <c r="AJ44" i="1"/>
  <c r="AB45" i="1"/>
  <c r="AD45" i="1"/>
  <c r="AE45" i="1"/>
  <c r="AF45" i="1"/>
  <c r="AG45" i="1"/>
  <c r="AH45" i="1"/>
  <c r="AI45" i="1"/>
  <c r="AJ45" i="1"/>
  <c r="AB46" i="1"/>
  <c r="AD46" i="1"/>
  <c r="AE46" i="1"/>
  <c r="AF46" i="1"/>
  <c r="AG46" i="1"/>
  <c r="AH46" i="1"/>
  <c r="AI46" i="1"/>
  <c r="AJ46" i="1"/>
  <c r="AB47" i="1"/>
  <c r="AD47" i="1"/>
  <c r="AE47" i="1"/>
  <c r="AF47" i="1"/>
  <c r="AG47" i="1"/>
  <c r="AH47" i="1"/>
  <c r="AI47" i="1"/>
  <c r="AJ47" i="1"/>
  <c r="AB48" i="1"/>
  <c r="AD48" i="1"/>
  <c r="AE48" i="1"/>
  <c r="AF48" i="1"/>
  <c r="AG48" i="1"/>
  <c r="AH48" i="1"/>
  <c r="AI48" i="1"/>
  <c r="AJ48" i="1"/>
  <c r="AB49" i="1"/>
  <c r="AD49" i="1"/>
  <c r="AE49" i="1"/>
  <c r="AF49" i="1"/>
  <c r="AG49" i="1"/>
  <c r="AH49" i="1"/>
  <c r="AI49" i="1"/>
  <c r="AJ49" i="1"/>
  <c r="AB50" i="1"/>
  <c r="AD50" i="1"/>
  <c r="AE50" i="1"/>
  <c r="AF50" i="1"/>
  <c r="AG50" i="1"/>
  <c r="AH50" i="1"/>
  <c r="AI50" i="1"/>
  <c r="AJ50" i="1"/>
  <c r="AB51" i="1"/>
  <c r="AD51" i="1"/>
  <c r="AE51" i="1"/>
  <c r="AF51" i="1"/>
  <c r="AG51" i="1"/>
  <c r="AH51" i="1"/>
  <c r="AI51" i="1"/>
  <c r="AJ51" i="1"/>
  <c r="AB52" i="1"/>
  <c r="AD52" i="1"/>
  <c r="AE52" i="1"/>
  <c r="AF52" i="1"/>
  <c r="AG52" i="1"/>
  <c r="AH52" i="1"/>
  <c r="AI52" i="1"/>
  <c r="AJ52" i="1"/>
  <c r="AB53" i="1"/>
  <c r="AD53" i="1"/>
  <c r="AE53" i="1"/>
  <c r="AF53" i="1"/>
  <c r="AG53" i="1"/>
  <c r="AH53" i="1"/>
  <c r="AI53" i="1"/>
  <c r="AJ53" i="1"/>
  <c r="AB54" i="1"/>
  <c r="AD54" i="1"/>
  <c r="AE54" i="1"/>
  <c r="AF54" i="1"/>
  <c r="AG54" i="1"/>
  <c r="AH54" i="1"/>
  <c r="AI54" i="1"/>
  <c r="AJ54" i="1"/>
  <c r="AB55" i="1"/>
  <c r="AD55" i="1"/>
  <c r="AE55" i="1"/>
  <c r="AF55" i="1"/>
  <c r="AG55" i="1"/>
  <c r="AH55" i="1"/>
  <c r="AI55" i="1"/>
  <c r="AJ55" i="1"/>
  <c r="AB56" i="1"/>
  <c r="AD56" i="1"/>
  <c r="AE56" i="1"/>
  <c r="AF56" i="1"/>
  <c r="AG56" i="1"/>
  <c r="AH56" i="1"/>
  <c r="AI56" i="1"/>
  <c r="AJ56" i="1"/>
  <c r="AB57" i="1"/>
  <c r="AD57" i="1"/>
  <c r="AE57" i="1"/>
  <c r="AF57" i="1"/>
  <c r="AG57" i="1"/>
  <c r="AH57" i="1"/>
  <c r="AI57" i="1"/>
  <c r="AJ57" i="1"/>
  <c r="AB58" i="1"/>
  <c r="AD58" i="1"/>
  <c r="AE58" i="1"/>
  <c r="AF58" i="1"/>
  <c r="AG58" i="1"/>
  <c r="AH58" i="1"/>
  <c r="AI58" i="1"/>
  <c r="AJ58" i="1"/>
  <c r="AB59" i="1"/>
  <c r="AD59" i="1"/>
  <c r="AE59" i="1"/>
  <c r="AF59" i="1"/>
  <c r="AG59" i="1"/>
  <c r="AH59" i="1"/>
  <c r="AI59" i="1"/>
  <c r="AJ59" i="1"/>
  <c r="AB60" i="1"/>
  <c r="AD60" i="1"/>
  <c r="AE60" i="1"/>
  <c r="AF60" i="1"/>
  <c r="AG60" i="1"/>
  <c r="AH60" i="1"/>
  <c r="AI60" i="1"/>
  <c r="AJ60" i="1"/>
  <c r="AB61" i="1"/>
  <c r="AD61" i="1"/>
  <c r="AE61" i="1"/>
  <c r="AF61" i="1"/>
  <c r="AG61" i="1"/>
  <c r="AH61" i="1"/>
  <c r="AI61" i="1"/>
  <c r="AJ61" i="1"/>
  <c r="AB62" i="1"/>
  <c r="AD62" i="1"/>
  <c r="AE62" i="1"/>
  <c r="AF62" i="1"/>
  <c r="AG62" i="1"/>
  <c r="AH62" i="1"/>
  <c r="AI62" i="1"/>
  <c r="AJ62" i="1"/>
  <c r="AB63" i="1"/>
  <c r="AD63" i="1"/>
  <c r="AE63" i="1"/>
  <c r="AF63" i="1"/>
  <c r="AG63" i="1"/>
  <c r="AH63" i="1"/>
  <c r="AI63" i="1"/>
  <c r="AJ63" i="1"/>
  <c r="AB64" i="1"/>
  <c r="AD64" i="1"/>
  <c r="AE64" i="1"/>
  <c r="AF64" i="1"/>
  <c r="AG64" i="1"/>
  <c r="AH64" i="1"/>
  <c r="AI64" i="1"/>
  <c r="AJ64" i="1"/>
  <c r="AB65" i="1"/>
  <c r="AD65" i="1"/>
  <c r="AE65" i="1"/>
  <c r="AF65" i="1"/>
  <c r="AG65" i="1"/>
  <c r="AH65" i="1"/>
  <c r="AI65" i="1"/>
  <c r="AJ65" i="1"/>
  <c r="AB66" i="1"/>
  <c r="AD66" i="1"/>
  <c r="AE66" i="1"/>
  <c r="AF66" i="1"/>
  <c r="AG66" i="1"/>
  <c r="AH66" i="1"/>
  <c r="AI66" i="1"/>
  <c r="AJ66" i="1"/>
  <c r="AB67" i="1"/>
  <c r="AD67" i="1"/>
  <c r="AE67" i="1"/>
  <c r="AF67" i="1"/>
  <c r="AG67" i="1"/>
  <c r="AH67" i="1"/>
  <c r="AI67" i="1"/>
  <c r="AJ67" i="1"/>
  <c r="AB68" i="1"/>
  <c r="AD68" i="1"/>
  <c r="AE68" i="1"/>
  <c r="AF68" i="1"/>
  <c r="AG68" i="1"/>
  <c r="AH68" i="1"/>
  <c r="AI68" i="1"/>
  <c r="AJ68" i="1"/>
  <c r="AB69" i="1"/>
  <c r="AD69" i="1"/>
  <c r="AE69" i="1"/>
  <c r="AF69" i="1"/>
  <c r="AG69" i="1"/>
  <c r="AH69" i="1"/>
  <c r="AI69" i="1"/>
  <c r="AJ69" i="1"/>
  <c r="AB70" i="1"/>
  <c r="AD70" i="1"/>
  <c r="AE70" i="1"/>
  <c r="AF70" i="1"/>
  <c r="AG70" i="1"/>
  <c r="AH70" i="1"/>
  <c r="AI70" i="1"/>
  <c r="AJ70" i="1"/>
  <c r="AB71" i="1"/>
  <c r="AD71" i="1"/>
  <c r="AE71" i="1"/>
  <c r="AF71" i="1"/>
  <c r="AG71" i="1"/>
  <c r="AH71" i="1"/>
  <c r="AI71" i="1"/>
  <c r="AJ71" i="1"/>
  <c r="AB72" i="1"/>
  <c r="AD72" i="1"/>
  <c r="AE72" i="1"/>
  <c r="AF72" i="1"/>
  <c r="AG72" i="1"/>
  <c r="AH72" i="1"/>
  <c r="AI72" i="1"/>
  <c r="AJ72" i="1"/>
  <c r="AB73" i="1"/>
  <c r="AD73" i="1"/>
  <c r="AE73" i="1"/>
  <c r="AF73" i="1"/>
  <c r="AG73" i="1"/>
  <c r="AH73" i="1"/>
  <c r="AI73" i="1"/>
  <c r="AJ73" i="1"/>
  <c r="AB74" i="1"/>
  <c r="AD74" i="1"/>
  <c r="AE74" i="1"/>
  <c r="AF74" i="1"/>
  <c r="AG74" i="1"/>
  <c r="AH74" i="1"/>
  <c r="AI74" i="1"/>
  <c r="AJ74" i="1"/>
  <c r="AB75" i="1"/>
  <c r="AD75" i="1"/>
  <c r="AE75" i="1"/>
  <c r="AF75" i="1"/>
  <c r="AG75" i="1"/>
  <c r="AH75" i="1"/>
  <c r="AI75" i="1"/>
  <c r="AJ75" i="1"/>
  <c r="AB76" i="1"/>
  <c r="AD76" i="1"/>
  <c r="AE76" i="1"/>
  <c r="AF76" i="1"/>
  <c r="AG76" i="1"/>
  <c r="AH76" i="1"/>
  <c r="AI76" i="1"/>
  <c r="AJ76" i="1"/>
  <c r="AB77" i="1"/>
  <c r="AD77" i="1"/>
  <c r="AE77" i="1"/>
  <c r="AF77" i="1"/>
  <c r="AG77" i="1"/>
  <c r="AH77" i="1"/>
  <c r="AI77" i="1"/>
  <c r="AJ77" i="1"/>
  <c r="AB78" i="1"/>
  <c r="AD78" i="1"/>
  <c r="AE78" i="1"/>
  <c r="AF78" i="1"/>
  <c r="AG78" i="1"/>
  <c r="AH78" i="1"/>
  <c r="AI78" i="1"/>
  <c r="AJ78" i="1"/>
  <c r="AB79" i="1"/>
  <c r="AD79" i="1"/>
  <c r="AE79" i="1"/>
  <c r="AF79" i="1"/>
  <c r="AG79" i="1"/>
  <c r="AH79" i="1"/>
  <c r="AI79" i="1"/>
  <c r="AJ79" i="1"/>
  <c r="AB80" i="1"/>
  <c r="AD80" i="1"/>
  <c r="AE80" i="1"/>
  <c r="AF80" i="1"/>
  <c r="AG80" i="1"/>
  <c r="AH80" i="1"/>
  <c r="AI80" i="1"/>
  <c r="AJ80" i="1"/>
  <c r="AB81" i="1"/>
  <c r="AD81" i="1"/>
  <c r="AE81" i="1"/>
  <c r="AF81" i="1"/>
  <c r="AG81" i="1"/>
  <c r="AH81" i="1"/>
  <c r="AI81" i="1"/>
  <c r="AJ81" i="1"/>
  <c r="AB82" i="1"/>
  <c r="AD82" i="1"/>
  <c r="AE82" i="1"/>
  <c r="AF82" i="1"/>
  <c r="AG82" i="1"/>
  <c r="AH82" i="1"/>
  <c r="AI82" i="1"/>
  <c r="AJ82" i="1"/>
  <c r="AB83" i="1"/>
  <c r="AD83" i="1"/>
  <c r="AE83" i="1"/>
  <c r="AF83" i="1"/>
  <c r="AG83" i="1"/>
  <c r="AH83" i="1"/>
  <c r="AI83" i="1"/>
  <c r="AJ83" i="1"/>
  <c r="AB84" i="1"/>
  <c r="AD84" i="1"/>
  <c r="AE84" i="1"/>
  <c r="AF84" i="1"/>
  <c r="AG84" i="1"/>
  <c r="AH84" i="1"/>
  <c r="AI84" i="1"/>
  <c r="AJ84" i="1"/>
  <c r="AB85" i="1"/>
  <c r="AD85" i="1"/>
  <c r="AE85" i="1"/>
  <c r="AF85" i="1"/>
  <c r="AG85" i="1"/>
  <c r="AH85" i="1"/>
  <c r="AI85" i="1"/>
  <c r="AJ85" i="1"/>
  <c r="AB86" i="1"/>
  <c r="AD86" i="1"/>
  <c r="AE86" i="1"/>
  <c r="AF86" i="1"/>
  <c r="AG86" i="1"/>
  <c r="AH86" i="1"/>
  <c r="AI86" i="1"/>
  <c r="AJ86" i="1"/>
  <c r="AB87" i="1"/>
  <c r="AD87" i="1"/>
  <c r="AE87" i="1"/>
  <c r="AF87" i="1"/>
  <c r="AG87" i="1"/>
  <c r="AH87" i="1"/>
  <c r="AI87" i="1"/>
  <c r="AJ87" i="1"/>
  <c r="AB88" i="1"/>
  <c r="AD88" i="1"/>
  <c r="AE88" i="1"/>
  <c r="AF88" i="1"/>
  <c r="AG88" i="1"/>
  <c r="AH88" i="1"/>
  <c r="AI88" i="1"/>
  <c r="AJ88" i="1"/>
  <c r="AB89" i="1"/>
  <c r="AD89" i="1"/>
  <c r="AE89" i="1"/>
  <c r="AF89" i="1"/>
  <c r="AG89" i="1"/>
  <c r="AH89" i="1"/>
  <c r="AI89" i="1"/>
  <c r="AJ89" i="1"/>
  <c r="AB90" i="1"/>
  <c r="AD90" i="1"/>
  <c r="AE90" i="1"/>
  <c r="AF90" i="1"/>
  <c r="AG90" i="1"/>
  <c r="AH90" i="1"/>
  <c r="AI90" i="1"/>
  <c r="AJ90" i="1"/>
  <c r="AB91" i="1"/>
  <c r="AD91" i="1"/>
  <c r="AE91" i="1"/>
  <c r="AF91" i="1"/>
  <c r="AG91" i="1"/>
  <c r="AH91" i="1"/>
  <c r="AI91" i="1"/>
  <c r="AJ91" i="1"/>
  <c r="AB92" i="1"/>
  <c r="AD92" i="1"/>
  <c r="AE92" i="1"/>
  <c r="AF92" i="1"/>
  <c r="AG92" i="1"/>
  <c r="AH92" i="1"/>
  <c r="AI92" i="1"/>
  <c r="AJ92" i="1"/>
  <c r="AB93" i="1"/>
  <c r="AD93" i="1"/>
  <c r="AE93" i="1"/>
  <c r="AF93" i="1"/>
  <c r="AG93" i="1"/>
  <c r="AH93" i="1"/>
  <c r="AI93" i="1"/>
  <c r="AJ93" i="1"/>
  <c r="AB94" i="1"/>
  <c r="AD94" i="1"/>
  <c r="AE94" i="1"/>
  <c r="AF94" i="1"/>
  <c r="AG94" i="1"/>
  <c r="AH94" i="1"/>
  <c r="AI94" i="1"/>
  <c r="AJ94" i="1"/>
  <c r="AB95" i="1"/>
  <c r="AD95" i="1"/>
  <c r="AE95" i="1"/>
  <c r="AF95" i="1"/>
  <c r="AG95" i="1"/>
  <c r="AH95" i="1"/>
  <c r="AI95" i="1"/>
  <c r="AJ95" i="1"/>
  <c r="AB96" i="1"/>
  <c r="AD96" i="1"/>
  <c r="AE96" i="1"/>
  <c r="AF96" i="1"/>
  <c r="AG96" i="1"/>
  <c r="AH96" i="1"/>
  <c r="AI96" i="1"/>
  <c r="AJ96" i="1"/>
  <c r="AB97" i="1"/>
  <c r="AD97" i="1"/>
  <c r="AE97" i="1"/>
  <c r="AF97" i="1"/>
  <c r="AG97" i="1"/>
  <c r="AH97" i="1"/>
  <c r="AI97" i="1"/>
  <c r="AJ97" i="1"/>
  <c r="AB98" i="1"/>
  <c r="AD98" i="1"/>
  <c r="AE98" i="1"/>
  <c r="AF98" i="1"/>
  <c r="AG98" i="1"/>
  <c r="AH98" i="1"/>
  <c r="AI98" i="1"/>
  <c r="AJ98" i="1"/>
  <c r="AB99" i="1"/>
  <c r="AD99" i="1"/>
  <c r="AE99" i="1"/>
  <c r="AF99" i="1"/>
  <c r="AG99" i="1"/>
  <c r="AH99" i="1"/>
  <c r="AI99" i="1"/>
  <c r="AJ99" i="1"/>
  <c r="AB100" i="1"/>
  <c r="AD100" i="1"/>
  <c r="AE100" i="1"/>
  <c r="AF100" i="1"/>
  <c r="AG100" i="1"/>
  <c r="AH100" i="1"/>
  <c r="AI100" i="1"/>
  <c r="AJ100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Z9" i="1" a="1"/>
  <c r="Z9" i="1" s="1"/>
  <c r="Z10" i="1" a="1"/>
  <c r="Z10" i="1" s="1"/>
  <c r="Z11" i="1" a="1"/>
  <c r="Z11" i="1" s="1"/>
  <c r="Z12" i="1" a="1"/>
  <c r="Z12" i="1" s="1"/>
  <c r="Z13" i="1" a="1"/>
  <c r="Z13" i="1" s="1"/>
  <c r="Z14" i="1" a="1"/>
  <c r="Z14" i="1" s="1"/>
  <c r="Z15" i="1" a="1"/>
  <c r="Z15" i="1" s="1"/>
  <c r="Z16" i="1" a="1"/>
  <c r="Z16" i="1" s="1"/>
  <c r="Z17" i="1" a="1"/>
  <c r="Z17" i="1" s="1"/>
  <c r="Z18" i="1" a="1"/>
  <c r="Z18" i="1" s="1"/>
  <c r="Z19" i="1" a="1"/>
  <c r="Z19" i="1" s="1"/>
  <c r="Z20" i="1" a="1"/>
  <c r="Z20" i="1" s="1"/>
  <c r="Z21" i="1" a="1"/>
  <c r="Z21" i="1" s="1"/>
  <c r="Z22" i="1" a="1"/>
  <c r="Z22" i="1" s="1"/>
  <c r="Z23" i="1" a="1"/>
  <c r="Z23" i="1" s="1"/>
  <c r="Z24" i="1" a="1"/>
  <c r="Z24" i="1" s="1"/>
  <c r="Z25" i="1" a="1"/>
  <c r="Z25" i="1" s="1"/>
  <c r="Z26" i="1" a="1"/>
  <c r="Z26" i="1" s="1"/>
  <c r="Z27" i="1" a="1"/>
  <c r="Z27" i="1" s="1"/>
  <c r="Z28" i="1" a="1"/>
  <c r="Z28" i="1" s="1"/>
  <c r="Z29" i="1" a="1"/>
  <c r="Z29" i="1" s="1"/>
  <c r="Z30" i="1" a="1"/>
  <c r="Z30" i="1" s="1"/>
  <c r="Z31" i="1" a="1"/>
  <c r="Z31" i="1" s="1"/>
  <c r="Z32" i="1" a="1"/>
  <c r="Z32" i="1" s="1"/>
  <c r="Z33" i="1" a="1"/>
  <c r="Z33" i="1" s="1"/>
  <c r="Z34" i="1" a="1"/>
  <c r="Z34" i="1" s="1"/>
  <c r="Z35" i="1" a="1"/>
  <c r="Z35" i="1" s="1"/>
  <c r="Z36" i="1" a="1"/>
  <c r="Z36" i="1" s="1"/>
  <c r="Z37" i="1" a="1"/>
  <c r="Z37" i="1" s="1"/>
  <c r="Z38" i="1" a="1"/>
  <c r="Z38" i="1" s="1"/>
  <c r="Z39" i="1" a="1"/>
  <c r="Z39" i="1" s="1"/>
  <c r="Z40" i="1" a="1"/>
  <c r="Z40" i="1" s="1"/>
  <c r="Z41" i="1" a="1"/>
  <c r="Z41" i="1" s="1"/>
  <c r="Z42" i="1" a="1"/>
  <c r="Z42" i="1" s="1"/>
  <c r="Z43" i="1" a="1"/>
  <c r="Z43" i="1" s="1"/>
  <c r="Z44" i="1" a="1"/>
  <c r="Z44" i="1" s="1"/>
  <c r="Z45" i="1" a="1"/>
  <c r="Z45" i="1" s="1"/>
  <c r="Z46" i="1" a="1"/>
  <c r="Z46" i="1" s="1"/>
  <c r="Z47" i="1" a="1"/>
  <c r="Z47" i="1" s="1"/>
  <c r="Z48" i="1" a="1"/>
  <c r="Z48" i="1" s="1"/>
  <c r="Z49" i="1" a="1"/>
  <c r="Z49" i="1" s="1"/>
  <c r="Z50" i="1" a="1"/>
  <c r="Z50" i="1" s="1"/>
  <c r="Z51" i="1" a="1"/>
  <c r="Z51" i="1" s="1"/>
  <c r="Z52" i="1" a="1"/>
  <c r="Z52" i="1" s="1"/>
  <c r="Z53" i="1" a="1"/>
  <c r="Z53" i="1" s="1"/>
  <c r="Z54" i="1" a="1"/>
  <c r="Z54" i="1" s="1"/>
  <c r="Z55" i="1" a="1"/>
  <c r="Z55" i="1" s="1"/>
  <c r="Z56" i="1" a="1"/>
  <c r="Z56" i="1" s="1"/>
  <c r="Z57" i="1" a="1"/>
  <c r="Z57" i="1" s="1"/>
  <c r="Z58" i="1" a="1"/>
  <c r="Z58" i="1" s="1"/>
  <c r="Z59" i="1" a="1"/>
  <c r="Z59" i="1" s="1"/>
  <c r="Z60" i="1" a="1"/>
  <c r="Z60" i="1" s="1"/>
  <c r="Z61" i="1" a="1"/>
  <c r="Z61" i="1" s="1"/>
  <c r="Z62" i="1" a="1"/>
  <c r="Z62" i="1" s="1"/>
  <c r="Z63" i="1" a="1"/>
  <c r="Z63" i="1" s="1"/>
  <c r="Z64" i="1" a="1"/>
  <c r="Z64" i="1" s="1"/>
  <c r="Z65" i="1" a="1"/>
  <c r="Z65" i="1" s="1"/>
  <c r="Z66" i="1" a="1"/>
  <c r="Z66" i="1" s="1"/>
  <c r="Z67" i="1" a="1"/>
  <c r="Z67" i="1" s="1"/>
  <c r="Z68" i="1" a="1"/>
  <c r="Z68" i="1" s="1"/>
  <c r="Z69" i="1" a="1"/>
  <c r="Z69" i="1" s="1"/>
  <c r="Z70" i="1" a="1"/>
  <c r="Z70" i="1" s="1"/>
  <c r="Z71" i="1" a="1"/>
  <c r="Z71" i="1" s="1"/>
  <c r="Z72" i="1" a="1"/>
  <c r="Z72" i="1" s="1"/>
  <c r="Z73" i="1" a="1"/>
  <c r="Z73" i="1" s="1"/>
  <c r="Z74" i="1" a="1"/>
  <c r="Z74" i="1" s="1"/>
  <c r="Z75" i="1" a="1"/>
  <c r="Z75" i="1" s="1"/>
  <c r="Z76" i="1" a="1"/>
  <c r="Z76" i="1" s="1"/>
  <c r="Z77" i="1" a="1"/>
  <c r="Z77" i="1" s="1"/>
  <c r="Z78" i="1" a="1"/>
  <c r="Z78" i="1" s="1"/>
  <c r="Z79" i="1" a="1"/>
  <c r="Z79" i="1" s="1"/>
  <c r="Z80" i="1" a="1"/>
  <c r="Z80" i="1" s="1"/>
  <c r="Z81" i="1" a="1"/>
  <c r="Z81" i="1" s="1"/>
  <c r="Z82" i="1" a="1"/>
  <c r="Z82" i="1" s="1"/>
  <c r="Z83" i="1" a="1"/>
  <c r="Z83" i="1" s="1"/>
  <c r="Z84" i="1" a="1"/>
  <c r="Z84" i="1" s="1"/>
  <c r="Z85" i="1" a="1"/>
  <c r="Z85" i="1" s="1"/>
  <c r="Z86" i="1" a="1"/>
  <c r="Z86" i="1" s="1"/>
  <c r="Z87" i="1" a="1"/>
  <c r="Z87" i="1" s="1"/>
  <c r="Z88" i="1" a="1"/>
  <c r="Z88" i="1" s="1"/>
  <c r="Z89" i="1" a="1"/>
  <c r="Z89" i="1" s="1"/>
  <c r="Z90" i="1" a="1"/>
  <c r="Z90" i="1" s="1"/>
  <c r="Z91" i="1" a="1"/>
  <c r="Z91" i="1" s="1"/>
  <c r="Z92" i="1" a="1"/>
  <c r="Z92" i="1" s="1"/>
  <c r="Z93" i="1" a="1"/>
  <c r="Z93" i="1" s="1"/>
  <c r="Z94" i="1" a="1"/>
  <c r="Z94" i="1" s="1"/>
  <c r="Z95" i="1" a="1"/>
  <c r="Z95" i="1" s="1"/>
  <c r="Z96" i="1" a="1"/>
  <c r="Z96" i="1" s="1"/>
  <c r="Z97" i="1" a="1"/>
  <c r="Z97" i="1" s="1"/>
  <c r="Z98" i="1" a="1"/>
  <c r="Z98" i="1" s="1"/>
  <c r="Z99" i="1" a="1"/>
  <c r="Z99" i="1" s="1"/>
  <c r="Z100" i="1" a="1"/>
  <c r="Z100" i="1" s="1"/>
  <c r="E9" i="1" a="1"/>
  <c r="E9" i="1" s="1"/>
  <c r="F9" i="1" a="1"/>
  <c r="F9" i="1" s="1"/>
  <c r="G9" i="1" a="1"/>
  <c r="G9" i="1" s="1"/>
  <c r="E10" i="1" a="1"/>
  <c r="E10" i="1" s="1"/>
  <c r="F10" i="1" a="1"/>
  <c r="F10" i="1" s="1"/>
  <c r="G10" i="1" a="1"/>
  <c r="G10" i="1" s="1"/>
  <c r="E11" i="1" a="1"/>
  <c r="E11" i="1" s="1"/>
  <c r="F11" i="1" a="1"/>
  <c r="F11" i="1" s="1"/>
  <c r="G11" i="1" a="1"/>
  <c r="G11" i="1" s="1"/>
  <c r="E12" i="1" a="1"/>
  <c r="E12" i="1" s="1"/>
  <c r="F12" i="1" a="1"/>
  <c r="F12" i="1" s="1"/>
  <c r="G12" i="1" a="1"/>
  <c r="G12" i="1" s="1"/>
  <c r="E13" i="1" a="1"/>
  <c r="E13" i="1" s="1"/>
  <c r="F13" i="1" a="1"/>
  <c r="F13" i="1" s="1"/>
  <c r="G13" i="1" a="1"/>
  <c r="G13" i="1" s="1"/>
  <c r="E14" i="1" a="1"/>
  <c r="E14" i="1" s="1"/>
  <c r="F14" i="1" a="1"/>
  <c r="F14" i="1" s="1"/>
  <c r="G14" i="1" a="1"/>
  <c r="G14" i="1" s="1"/>
  <c r="E15" i="1" a="1"/>
  <c r="E15" i="1" s="1"/>
  <c r="F15" i="1" a="1"/>
  <c r="F15" i="1" s="1"/>
  <c r="G15" i="1" a="1"/>
  <c r="G15" i="1" s="1"/>
  <c r="E16" i="1" a="1"/>
  <c r="E16" i="1" s="1"/>
  <c r="F16" i="1" a="1"/>
  <c r="F16" i="1" s="1"/>
  <c r="G16" i="1" a="1"/>
  <c r="G16" i="1" s="1"/>
  <c r="E17" i="1" a="1"/>
  <c r="E17" i="1" s="1"/>
  <c r="F17" i="1" a="1"/>
  <c r="F17" i="1" s="1"/>
  <c r="G17" i="1" a="1"/>
  <c r="G17" i="1" s="1"/>
  <c r="E18" i="1" a="1"/>
  <c r="E18" i="1" s="1"/>
  <c r="F18" i="1" a="1"/>
  <c r="F18" i="1" s="1"/>
  <c r="G18" i="1" a="1"/>
  <c r="G18" i="1" s="1"/>
  <c r="E19" i="1" a="1"/>
  <c r="E19" i="1" s="1"/>
  <c r="F19" i="1" a="1"/>
  <c r="F19" i="1" s="1"/>
  <c r="G19" i="1" a="1"/>
  <c r="G19" i="1" s="1"/>
  <c r="E20" i="1" a="1"/>
  <c r="E20" i="1" s="1"/>
  <c r="F20" i="1" a="1"/>
  <c r="F20" i="1" s="1"/>
  <c r="G20" i="1" a="1"/>
  <c r="G20" i="1" s="1"/>
  <c r="E21" i="1" a="1"/>
  <c r="E21" i="1" s="1"/>
  <c r="F21" i="1" a="1"/>
  <c r="F21" i="1" s="1"/>
  <c r="G21" i="1" a="1"/>
  <c r="G21" i="1" s="1"/>
  <c r="E22" i="1" a="1"/>
  <c r="E22" i="1" s="1"/>
  <c r="F22" i="1" a="1"/>
  <c r="F22" i="1" s="1"/>
  <c r="G22" i="1" a="1"/>
  <c r="G22" i="1" s="1"/>
  <c r="E23" i="1" a="1"/>
  <c r="E23" i="1" s="1"/>
  <c r="F23" i="1" a="1"/>
  <c r="F23" i="1" s="1"/>
  <c r="G23" i="1" a="1"/>
  <c r="G23" i="1" s="1"/>
  <c r="E24" i="1" a="1"/>
  <c r="E24" i="1" s="1"/>
  <c r="F24" i="1" a="1"/>
  <c r="F24" i="1" s="1"/>
  <c r="G24" i="1" a="1"/>
  <c r="G24" i="1" s="1"/>
  <c r="E25" i="1" a="1"/>
  <c r="E25" i="1" s="1"/>
  <c r="F25" i="1" a="1"/>
  <c r="F25" i="1" s="1"/>
  <c r="G25" i="1" a="1"/>
  <c r="G25" i="1" s="1"/>
  <c r="E26" i="1" a="1"/>
  <c r="E26" i="1" s="1"/>
  <c r="F26" i="1" a="1"/>
  <c r="F26" i="1" s="1"/>
  <c r="G26" i="1" a="1"/>
  <c r="G26" i="1" s="1"/>
  <c r="E27" i="1" a="1"/>
  <c r="E27" i="1" s="1"/>
  <c r="F27" i="1" a="1"/>
  <c r="F27" i="1" s="1"/>
  <c r="G27" i="1" a="1"/>
  <c r="G27" i="1" s="1"/>
  <c r="E28" i="1" a="1"/>
  <c r="E28" i="1" s="1"/>
  <c r="F28" i="1" a="1"/>
  <c r="F28" i="1" s="1"/>
  <c r="G28" i="1" a="1"/>
  <c r="G28" i="1" s="1"/>
  <c r="E29" i="1" a="1"/>
  <c r="E29" i="1" s="1"/>
  <c r="F29" i="1" a="1"/>
  <c r="F29" i="1" s="1"/>
  <c r="G29" i="1" a="1"/>
  <c r="G29" i="1" s="1"/>
  <c r="E30" i="1" a="1"/>
  <c r="E30" i="1" s="1"/>
  <c r="F30" i="1" a="1"/>
  <c r="F30" i="1" s="1"/>
  <c r="G30" i="1" a="1"/>
  <c r="G30" i="1" s="1"/>
  <c r="E31" i="1" a="1"/>
  <c r="E31" i="1" s="1"/>
  <c r="F31" i="1" a="1"/>
  <c r="F31" i="1" s="1"/>
  <c r="G31" i="1" a="1"/>
  <c r="G31" i="1" s="1"/>
  <c r="E32" i="1" a="1"/>
  <c r="E32" i="1" s="1"/>
  <c r="F32" i="1" a="1"/>
  <c r="F32" i="1" s="1"/>
  <c r="G32" i="1" a="1"/>
  <c r="G32" i="1" s="1"/>
  <c r="E33" i="1" a="1"/>
  <c r="E33" i="1" s="1"/>
  <c r="F33" i="1" a="1"/>
  <c r="F33" i="1" s="1"/>
  <c r="G33" i="1" a="1"/>
  <c r="G33" i="1" s="1"/>
  <c r="E34" i="1" a="1"/>
  <c r="E34" i="1" s="1"/>
  <c r="F34" i="1" a="1"/>
  <c r="F34" i="1" s="1"/>
  <c r="G34" i="1" a="1"/>
  <c r="G34" i="1" s="1"/>
  <c r="E35" i="1" a="1"/>
  <c r="E35" i="1" s="1"/>
  <c r="F35" i="1" a="1"/>
  <c r="F35" i="1" s="1"/>
  <c r="G35" i="1" a="1"/>
  <c r="G35" i="1" s="1"/>
  <c r="E36" i="1" a="1"/>
  <c r="E36" i="1" s="1"/>
  <c r="F36" i="1" a="1"/>
  <c r="F36" i="1" s="1"/>
  <c r="G36" i="1" a="1"/>
  <c r="G36" i="1" s="1"/>
  <c r="E37" i="1" a="1"/>
  <c r="E37" i="1" s="1"/>
  <c r="F37" i="1" a="1"/>
  <c r="F37" i="1" s="1"/>
  <c r="G37" i="1" a="1"/>
  <c r="G37" i="1" s="1"/>
  <c r="E38" i="1" a="1"/>
  <c r="E38" i="1" s="1"/>
  <c r="F38" i="1" a="1"/>
  <c r="F38" i="1" s="1"/>
  <c r="G38" i="1" a="1"/>
  <c r="G38" i="1" s="1"/>
  <c r="E39" i="1" a="1"/>
  <c r="E39" i="1" s="1"/>
  <c r="F39" i="1" a="1"/>
  <c r="F39" i="1" s="1"/>
  <c r="G39" i="1" a="1"/>
  <c r="G39" i="1" s="1"/>
  <c r="E40" i="1" a="1"/>
  <c r="E40" i="1" s="1"/>
  <c r="F40" i="1" a="1"/>
  <c r="F40" i="1" s="1"/>
  <c r="G40" i="1" a="1"/>
  <c r="G40" i="1" s="1"/>
  <c r="E41" i="1" a="1"/>
  <c r="E41" i="1" s="1"/>
  <c r="F41" i="1" a="1"/>
  <c r="F41" i="1" s="1"/>
  <c r="G41" i="1" a="1"/>
  <c r="G41" i="1" s="1"/>
  <c r="E42" i="1" a="1"/>
  <c r="E42" i="1" s="1"/>
  <c r="F42" i="1" a="1"/>
  <c r="F42" i="1" s="1"/>
  <c r="G42" i="1" a="1"/>
  <c r="G42" i="1" s="1"/>
  <c r="E43" i="1" a="1"/>
  <c r="E43" i="1" s="1"/>
  <c r="F43" i="1" a="1"/>
  <c r="F43" i="1" s="1"/>
  <c r="G43" i="1" a="1"/>
  <c r="G43" i="1" s="1"/>
  <c r="E44" i="1" a="1"/>
  <c r="E44" i="1" s="1"/>
  <c r="F44" i="1" a="1"/>
  <c r="F44" i="1" s="1"/>
  <c r="G44" i="1" a="1"/>
  <c r="G44" i="1" s="1"/>
  <c r="E45" i="1" a="1"/>
  <c r="E45" i="1" s="1"/>
  <c r="F45" i="1" a="1"/>
  <c r="F45" i="1" s="1"/>
  <c r="G45" i="1" a="1"/>
  <c r="G45" i="1" s="1"/>
  <c r="E46" i="1" a="1"/>
  <c r="E46" i="1" s="1"/>
  <c r="F46" i="1" a="1"/>
  <c r="F46" i="1" s="1"/>
  <c r="G46" i="1" a="1"/>
  <c r="G46" i="1" s="1"/>
  <c r="E47" i="1" a="1"/>
  <c r="E47" i="1" s="1"/>
  <c r="F47" i="1" a="1"/>
  <c r="F47" i="1" s="1"/>
  <c r="G47" i="1" a="1"/>
  <c r="G47" i="1" s="1"/>
  <c r="E48" i="1" a="1"/>
  <c r="E48" i="1" s="1"/>
  <c r="F48" i="1" a="1"/>
  <c r="F48" i="1" s="1"/>
  <c r="G48" i="1" a="1"/>
  <c r="G48" i="1" s="1"/>
  <c r="E49" i="1" a="1"/>
  <c r="E49" i="1" s="1"/>
  <c r="F49" i="1" a="1"/>
  <c r="F49" i="1" s="1"/>
  <c r="G49" i="1" a="1"/>
  <c r="G49" i="1" s="1"/>
  <c r="E50" i="1" a="1"/>
  <c r="E50" i="1" s="1"/>
  <c r="F50" i="1" a="1"/>
  <c r="F50" i="1" s="1"/>
  <c r="G50" i="1" a="1"/>
  <c r="G50" i="1" s="1"/>
  <c r="E51" i="1" a="1"/>
  <c r="E51" i="1" s="1"/>
  <c r="F51" i="1" a="1"/>
  <c r="F51" i="1" s="1"/>
  <c r="G51" i="1" a="1"/>
  <c r="G51" i="1" s="1"/>
  <c r="E52" i="1" a="1"/>
  <c r="E52" i="1" s="1"/>
  <c r="F52" i="1" a="1"/>
  <c r="F52" i="1" s="1"/>
  <c r="G52" i="1" a="1"/>
  <c r="G52" i="1" s="1"/>
  <c r="E53" i="1" a="1"/>
  <c r="E53" i="1" s="1"/>
  <c r="F53" i="1" a="1"/>
  <c r="F53" i="1" s="1"/>
  <c r="G53" i="1" a="1"/>
  <c r="G53" i="1" s="1"/>
  <c r="E54" i="1" a="1"/>
  <c r="E54" i="1" s="1"/>
  <c r="F54" i="1" a="1"/>
  <c r="F54" i="1" s="1"/>
  <c r="G54" i="1" a="1"/>
  <c r="G54" i="1" s="1"/>
  <c r="E55" i="1" a="1"/>
  <c r="E55" i="1" s="1"/>
  <c r="F55" i="1" a="1"/>
  <c r="F55" i="1" s="1"/>
  <c r="G55" i="1" a="1"/>
  <c r="G55" i="1" s="1"/>
  <c r="E56" i="1" a="1"/>
  <c r="E56" i="1" s="1"/>
  <c r="F56" i="1" a="1"/>
  <c r="F56" i="1" s="1"/>
  <c r="G56" i="1" a="1"/>
  <c r="G56" i="1" s="1"/>
  <c r="E57" i="1" a="1"/>
  <c r="E57" i="1" s="1"/>
  <c r="F57" i="1" a="1"/>
  <c r="F57" i="1" s="1"/>
  <c r="G57" i="1" a="1"/>
  <c r="G57" i="1" s="1"/>
  <c r="E58" i="1" a="1"/>
  <c r="E58" i="1" s="1"/>
  <c r="F58" i="1" a="1"/>
  <c r="F58" i="1" s="1"/>
  <c r="G58" i="1" a="1"/>
  <c r="G58" i="1" s="1"/>
  <c r="E59" i="1" a="1"/>
  <c r="E59" i="1" s="1"/>
  <c r="F59" i="1" a="1"/>
  <c r="F59" i="1" s="1"/>
  <c r="G59" i="1" a="1"/>
  <c r="G59" i="1" s="1"/>
  <c r="E60" i="1" a="1"/>
  <c r="E60" i="1" s="1"/>
  <c r="F60" i="1" a="1"/>
  <c r="F60" i="1" s="1"/>
  <c r="G60" i="1" a="1"/>
  <c r="G60" i="1" s="1"/>
  <c r="E61" i="1" a="1"/>
  <c r="E61" i="1" s="1"/>
  <c r="F61" i="1" a="1"/>
  <c r="F61" i="1" s="1"/>
  <c r="G61" i="1" a="1"/>
  <c r="G61" i="1" s="1"/>
  <c r="E62" i="1" a="1"/>
  <c r="E62" i="1" s="1"/>
  <c r="F62" i="1" a="1"/>
  <c r="F62" i="1" s="1"/>
  <c r="G62" i="1" a="1"/>
  <c r="G62" i="1" s="1"/>
  <c r="E63" i="1" a="1"/>
  <c r="E63" i="1" s="1"/>
  <c r="F63" i="1" a="1"/>
  <c r="F63" i="1" s="1"/>
  <c r="G63" i="1" a="1"/>
  <c r="G63" i="1" s="1"/>
  <c r="E64" i="1" a="1"/>
  <c r="E64" i="1" s="1"/>
  <c r="F64" i="1" a="1"/>
  <c r="F64" i="1" s="1"/>
  <c r="G64" i="1" a="1"/>
  <c r="G64" i="1" s="1"/>
  <c r="E65" i="1" a="1"/>
  <c r="E65" i="1" s="1"/>
  <c r="F65" i="1" a="1"/>
  <c r="F65" i="1" s="1"/>
  <c r="G65" i="1" a="1"/>
  <c r="G65" i="1" s="1"/>
  <c r="E66" i="1" a="1"/>
  <c r="E66" i="1" s="1"/>
  <c r="F66" i="1" a="1"/>
  <c r="F66" i="1" s="1"/>
  <c r="G66" i="1" a="1"/>
  <c r="G66" i="1" s="1"/>
  <c r="E67" i="1" a="1"/>
  <c r="E67" i="1" s="1"/>
  <c r="F67" i="1" a="1"/>
  <c r="F67" i="1" s="1"/>
  <c r="G67" i="1" a="1"/>
  <c r="G67" i="1" s="1"/>
  <c r="E68" i="1" a="1"/>
  <c r="E68" i="1" s="1"/>
  <c r="F68" i="1" a="1"/>
  <c r="F68" i="1" s="1"/>
  <c r="G68" i="1" a="1"/>
  <c r="G68" i="1" s="1"/>
  <c r="E69" i="1" a="1"/>
  <c r="E69" i="1" s="1"/>
  <c r="F69" i="1" a="1"/>
  <c r="F69" i="1" s="1"/>
  <c r="G69" i="1" a="1"/>
  <c r="G69" i="1" s="1"/>
  <c r="E70" i="1" a="1"/>
  <c r="E70" i="1" s="1"/>
  <c r="F70" i="1" a="1"/>
  <c r="F70" i="1" s="1"/>
  <c r="G70" i="1" a="1"/>
  <c r="G70" i="1" s="1"/>
  <c r="E71" i="1" a="1"/>
  <c r="E71" i="1" s="1"/>
  <c r="F71" i="1" a="1"/>
  <c r="F71" i="1" s="1"/>
  <c r="G71" i="1" a="1"/>
  <c r="G71" i="1" s="1"/>
  <c r="E72" i="1" a="1"/>
  <c r="E72" i="1" s="1"/>
  <c r="F72" i="1" a="1"/>
  <c r="F72" i="1" s="1"/>
  <c r="G72" i="1" a="1"/>
  <c r="G72" i="1" s="1"/>
  <c r="E73" i="1" a="1"/>
  <c r="E73" i="1" s="1"/>
  <c r="F73" i="1" a="1"/>
  <c r="F73" i="1" s="1"/>
  <c r="G73" i="1" a="1"/>
  <c r="G73" i="1" s="1"/>
  <c r="E74" i="1" a="1"/>
  <c r="E74" i="1" s="1"/>
  <c r="F74" i="1" a="1"/>
  <c r="F74" i="1" s="1"/>
  <c r="G74" i="1" a="1"/>
  <c r="G74" i="1" s="1"/>
  <c r="E75" i="1" a="1"/>
  <c r="E75" i="1" s="1"/>
  <c r="F75" i="1" a="1"/>
  <c r="F75" i="1" s="1"/>
  <c r="G75" i="1" a="1"/>
  <c r="G75" i="1" s="1"/>
  <c r="E76" i="1" a="1"/>
  <c r="E76" i="1" s="1"/>
  <c r="F76" i="1" a="1"/>
  <c r="F76" i="1" s="1"/>
  <c r="G76" i="1" a="1"/>
  <c r="G76" i="1" s="1"/>
  <c r="E77" i="1" a="1"/>
  <c r="E77" i="1" s="1"/>
  <c r="F77" i="1" a="1"/>
  <c r="F77" i="1" s="1"/>
  <c r="G77" i="1" a="1"/>
  <c r="G77" i="1" s="1"/>
  <c r="E78" i="1" a="1"/>
  <c r="E78" i="1" s="1"/>
  <c r="F78" i="1" a="1"/>
  <c r="F78" i="1" s="1"/>
  <c r="G78" i="1" a="1"/>
  <c r="G78" i="1" s="1"/>
  <c r="E79" i="1" a="1"/>
  <c r="E79" i="1" s="1"/>
  <c r="F79" i="1" a="1"/>
  <c r="F79" i="1" s="1"/>
  <c r="G79" i="1" a="1"/>
  <c r="G79" i="1" s="1"/>
  <c r="E80" i="1" a="1"/>
  <c r="E80" i="1" s="1"/>
  <c r="F80" i="1" a="1"/>
  <c r="F80" i="1" s="1"/>
  <c r="G80" i="1" a="1"/>
  <c r="G80" i="1" s="1"/>
  <c r="E81" i="1" a="1"/>
  <c r="E81" i="1" s="1"/>
  <c r="F81" i="1" a="1"/>
  <c r="F81" i="1" s="1"/>
  <c r="G81" i="1" a="1"/>
  <c r="G81" i="1" s="1"/>
  <c r="E82" i="1" a="1"/>
  <c r="E82" i="1" s="1"/>
  <c r="F82" i="1" a="1"/>
  <c r="F82" i="1" s="1"/>
  <c r="G82" i="1" a="1"/>
  <c r="G82" i="1" s="1"/>
  <c r="E83" i="1" a="1"/>
  <c r="E83" i="1" s="1"/>
  <c r="F83" i="1" a="1"/>
  <c r="F83" i="1" s="1"/>
  <c r="G83" i="1" a="1"/>
  <c r="G83" i="1" s="1"/>
  <c r="E84" i="1" a="1"/>
  <c r="E84" i="1" s="1"/>
  <c r="F84" i="1" a="1"/>
  <c r="F84" i="1" s="1"/>
  <c r="G84" i="1" a="1"/>
  <c r="G84" i="1" s="1"/>
  <c r="E85" i="1" a="1"/>
  <c r="E85" i="1" s="1"/>
  <c r="F85" i="1" a="1"/>
  <c r="F85" i="1" s="1"/>
  <c r="G85" i="1" a="1"/>
  <c r="G85" i="1" s="1"/>
  <c r="E86" i="1" a="1"/>
  <c r="E86" i="1" s="1"/>
  <c r="F86" i="1" a="1"/>
  <c r="F86" i="1" s="1"/>
  <c r="G86" i="1" a="1"/>
  <c r="G86" i="1" s="1"/>
  <c r="E87" i="1" a="1"/>
  <c r="E87" i="1" s="1"/>
  <c r="F87" i="1" a="1"/>
  <c r="F87" i="1" s="1"/>
  <c r="G87" i="1" a="1"/>
  <c r="G87" i="1" s="1"/>
  <c r="E88" i="1" a="1"/>
  <c r="E88" i="1" s="1"/>
  <c r="F88" i="1" a="1"/>
  <c r="F88" i="1" s="1"/>
  <c r="G88" i="1" a="1"/>
  <c r="G88" i="1" s="1"/>
  <c r="E89" i="1" a="1"/>
  <c r="E89" i="1" s="1"/>
  <c r="F89" i="1" a="1"/>
  <c r="F89" i="1" s="1"/>
  <c r="G89" i="1" a="1"/>
  <c r="G89" i="1" s="1"/>
  <c r="E90" i="1" a="1"/>
  <c r="E90" i="1" s="1"/>
  <c r="F90" i="1" a="1"/>
  <c r="F90" i="1" s="1"/>
  <c r="G90" i="1" a="1"/>
  <c r="G90" i="1" s="1"/>
  <c r="E91" i="1" a="1"/>
  <c r="E91" i="1" s="1"/>
  <c r="F91" i="1" a="1"/>
  <c r="F91" i="1" s="1"/>
  <c r="G91" i="1" a="1"/>
  <c r="G91" i="1" s="1"/>
  <c r="E92" i="1" a="1"/>
  <c r="E92" i="1" s="1"/>
  <c r="F92" i="1" a="1"/>
  <c r="F92" i="1" s="1"/>
  <c r="G92" i="1" a="1"/>
  <c r="G92" i="1" s="1"/>
  <c r="E93" i="1" a="1"/>
  <c r="E93" i="1" s="1"/>
  <c r="F93" i="1" a="1"/>
  <c r="F93" i="1" s="1"/>
  <c r="G93" i="1" a="1"/>
  <c r="G93" i="1" s="1"/>
  <c r="E94" i="1" a="1"/>
  <c r="E94" i="1" s="1"/>
  <c r="F94" i="1" a="1"/>
  <c r="F94" i="1" s="1"/>
  <c r="G94" i="1" a="1"/>
  <c r="G94" i="1" s="1"/>
  <c r="E95" i="1" a="1"/>
  <c r="E95" i="1" s="1"/>
  <c r="F95" i="1" a="1"/>
  <c r="F95" i="1" s="1"/>
  <c r="G95" i="1" a="1"/>
  <c r="G95" i="1" s="1"/>
  <c r="E96" i="1" a="1"/>
  <c r="E96" i="1" s="1"/>
  <c r="F96" i="1" a="1"/>
  <c r="F96" i="1" s="1"/>
  <c r="G96" i="1" a="1"/>
  <c r="G96" i="1" s="1"/>
  <c r="E97" i="1" a="1"/>
  <c r="E97" i="1" s="1"/>
  <c r="F97" i="1" a="1"/>
  <c r="F97" i="1" s="1"/>
  <c r="G97" i="1" a="1"/>
  <c r="G97" i="1" s="1"/>
  <c r="E98" i="1" a="1"/>
  <c r="E98" i="1" s="1"/>
  <c r="F98" i="1" a="1"/>
  <c r="F98" i="1" s="1"/>
  <c r="G98" i="1" a="1"/>
  <c r="G98" i="1" s="1"/>
  <c r="E99" i="1" a="1"/>
  <c r="E99" i="1" s="1"/>
  <c r="F99" i="1" a="1"/>
  <c r="F99" i="1" s="1"/>
  <c r="G99" i="1" a="1"/>
  <c r="G99" i="1" s="1"/>
  <c r="E100" i="1" a="1"/>
  <c r="E100" i="1" s="1"/>
  <c r="F100" i="1" a="1"/>
  <c r="F100" i="1" s="1"/>
  <c r="G100" i="1" a="1"/>
  <c r="G100" i="1" s="1"/>
  <c r="B9" i="1" a="1"/>
  <c r="B9" i="1" s="1"/>
  <c r="C9" i="1" a="1"/>
  <c r="C9" i="1" s="1"/>
  <c r="D9" i="1" a="1"/>
  <c r="D9" i="1" s="1"/>
  <c r="H9" i="1" a="1"/>
  <c r="H9" i="1" s="1"/>
  <c r="I9" i="1" a="1"/>
  <c r="I9" i="1" s="1"/>
  <c r="J9" i="1" a="1"/>
  <c r="J9" i="1" s="1"/>
  <c r="K9" i="1" a="1"/>
  <c r="K9" i="1" s="1"/>
  <c r="L9" i="1" a="1"/>
  <c r="L9" i="1" s="1"/>
  <c r="M9" i="1" a="1"/>
  <c r="M9" i="1" s="1"/>
  <c r="N9" i="1" a="1"/>
  <c r="N9" i="1" s="1"/>
  <c r="O9" i="1" a="1"/>
  <c r="O9" i="1" s="1"/>
  <c r="P9" i="1" a="1"/>
  <c r="P9" i="1" s="1"/>
  <c r="Q9" i="1" a="1"/>
  <c r="Q9" i="1" s="1"/>
  <c r="R9" i="1" a="1"/>
  <c r="R9" i="1" s="1"/>
  <c r="S9" i="1" a="1"/>
  <c r="S9" i="1" s="1"/>
  <c r="T9" i="1" a="1"/>
  <c r="T9" i="1" s="1"/>
  <c r="U9" i="1" a="1"/>
  <c r="U9" i="1" s="1"/>
  <c r="V9" i="1" a="1"/>
  <c r="V9" i="1" s="1"/>
  <c r="W9" i="1" a="1"/>
  <c r="W9" i="1" s="1"/>
  <c r="X9" i="1" a="1"/>
  <c r="X9" i="1" s="1"/>
  <c r="Y9" i="1" a="1"/>
  <c r="Y9" i="1" s="1"/>
  <c r="B10" i="1" a="1"/>
  <c r="B10" i="1" s="1"/>
  <c r="C10" i="1" a="1"/>
  <c r="C10" i="1" s="1"/>
  <c r="D10" i="1" a="1"/>
  <c r="D10" i="1" s="1"/>
  <c r="H10" i="1" a="1"/>
  <c r="H10" i="1" s="1"/>
  <c r="I10" i="1" a="1"/>
  <c r="I10" i="1" s="1"/>
  <c r="J10" i="1" a="1"/>
  <c r="J10" i="1" s="1"/>
  <c r="K10" i="1" a="1"/>
  <c r="K10" i="1" s="1"/>
  <c r="L10" i="1" a="1"/>
  <c r="L10" i="1" s="1"/>
  <c r="M10" i="1" a="1"/>
  <c r="M10" i="1" s="1"/>
  <c r="N10" i="1" a="1"/>
  <c r="N10" i="1" s="1"/>
  <c r="O10" i="1" a="1"/>
  <c r="O10" i="1" s="1"/>
  <c r="P10" i="1" a="1"/>
  <c r="P10" i="1" s="1"/>
  <c r="Q10" i="1" a="1"/>
  <c r="Q10" i="1" s="1"/>
  <c r="R10" i="1" a="1"/>
  <c r="R10" i="1" s="1"/>
  <c r="S10" i="1" a="1"/>
  <c r="S10" i="1" s="1"/>
  <c r="T10" i="1" a="1"/>
  <c r="T10" i="1" s="1"/>
  <c r="U10" i="1" a="1"/>
  <c r="U10" i="1" s="1"/>
  <c r="V10" i="1" a="1"/>
  <c r="V10" i="1" s="1"/>
  <c r="W10" i="1" a="1"/>
  <c r="W10" i="1" s="1"/>
  <c r="X10" i="1" a="1"/>
  <c r="X10" i="1" s="1"/>
  <c r="Y10" i="1" a="1"/>
  <c r="Y10" i="1" s="1"/>
  <c r="B11" i="1" a="1"/>
  <c r="B11" i="1" s="1"/>
  <c r="C11" i="1" a="1"/>
  <c r="C11" i="1" s="1"/>
  <c r="D11" i="1" a="1"/>
  <c r="D11" i="1" s="1"/>
  <c r="H11" i="1" a="1"/>
  <c r="H11" i="1" s="1"/>
  <c r="I11" i="1" a="1"/>
  <c r="I11" i="1" s="1"/>
  <c r="J11" i="1" a="1"/>
  <c r="J11" i="1" s="1"/>
  <c r="K11" i="1" a="1"/>
  <c r="K11" i="1" s="1"/>
  <c r="L11" i="1" a="1"/>
  <c r="L11" i="1" s="1"/>
  <c r="M11" i="1" a="1"/>
  <c r="M11" i="1" s="1"/>
  <c r="N11" i="1" a="1"/>
  <c r="N11" i="1" s="1"/>
  <c r="O11" i="1" a="1"/>
  <c r="O11" i="1" s="1"/>
  <c r="P11" i="1" a="1"/>
  <c r="P11" i="1" s="1"/>
  <c r="Q11" i="1" a="1"/>
  <c r="Q11" i="1" s="1"/>
  <c r="R11" i="1" a="1"/>
  <c r="R11" i="1" s="1"/>
  <c r="S11" i="1" a="1"/>
  <c r="S11" i="1" s="1"/>
  <c r="T11" i="1" a="1"/>
  <c r="T11" i="1" s="1"/>
  <c r="U11" i="1" a="1"/>
  <c r="U11" i="1" s="1"/>
  <c r="V11" i="1" a="1"/>
  <c r="V11" i="1" s="1"/>
  <c r="W11" i="1" a="1"/>
  <c r="W11" i="1" s="1"/>
  <c r="X11" i="1" a="1"/>
  <c r="X11" i="1" s="1"/>
  <c r="Y11" i="1" a="1"/>
  <c r="Y11" i="1" s="1"/>
  <c r="B12" i="1" a="1"/>
  <c r="B12" i="1" s="1"/>
  <c r="C12" i="1" a="1"/>
  <c r="C12" i="1" s="1"/>
  <c r="D12" i="1" a="1"/>
  <c r="D12" i="1" s="1"/>
  <c r="H12" i="1" a="1"/>
  <c r="H12" i="1" s="1"/>
  <c r="I12" i="1" a="1"/>
  <c r="I12" i="1" s="1"/>
  <c r="J12" i="1" a="1"/>
  <c r="J12" i="1" s="1"/>
  <c r="K12" i="1" a="1"/>
  <c r="K12" i="1" s="1"/>
  <c r="L12" i="1" a="1"/>
  <c r="L12" i="1" s="1"/>
  <c r="M12" i="1" a="1"/>
  <c r="M12" i="1" s="1"/>
  <c r="N12" i="1" a="1"/>
  <c r="N12" i="1" s="1"/>
  <c r="O12" i="1" a="1"/>
  <c r="O12" i="1" s="1"/>
  <c r="P12" i="1" a="1"/>
  <c r="P12" i="1" s="1"/>
  <c r="Q12" i="1" a="1"/>
  <c r="Q12" i="1" s="1"/>
  <c r="R12" i="1" a="1"/>
  <c r="R12" i="1" s="1"/>
  <c r="S12" i="1" a="1"/>
  <c r="S12" i="1" s="1"/>
  <c r="T12" i="1" a="1"/>
  <c r="T12" i="1" s="1"/>
  <c r="U12" i="1" a="1"/>
  <c r="U12" i="1" s="1"/>
  <c r="V12" i="1" a="1"/>
  <c r="V12" i="1" s="1"/>
  <c r="W12" i="1" a="1"/>
  <c r="W12" i="1" s="1"/>
  <c r="X12" i="1" a="1"/>
  <c r="X12" i="1" s="1"/>
  <c r="Y12" i="1" a="1"/>
  <c r="Y12" i="1" s="1"/>
  <c r="B13" i="1" a="1"/>
  <c r="B13" i="1" s="1"/>
  <c r="C13" i="1" a="1"/>
  <c r="C13" i="1" s="1"/>
  <c r="D13" i="1" a="1"/>
  <c r="D13" i="1" s="1"/>
  <c r="H13" i="1" a="1"/>
  <c r="H13" i="1" s="1"/>
  <c r="I13" i="1" a="1"/>
  <c r="I13" i="1" s="1"/>
  <c r="J13" i="1" a="1"/>
  <c r="J13" i="1" s="1"/>
  <c r="K13" i="1" a="1"/>
  <c r="K13" i="1" s="1"/>
  <c r="L13" i="1" a="1"/>
  <c r="L13" i="1" s="1"/>
  <c r="M13" i="1" a="1"/>
  <c r="M13" i="1" s="1"/>
  <c r="N13" i="1" a="1"/>
  <c r="N13" i="1" s="1"/>
  <c r="O13" i="1" a="1"/>
  <c r="O13" i="1" s="1"/>
  <c r="P13" i="1" a="1"/>
  <c r="P13" i="1" s="1"/>
  <c r="Q13" i="1" a="1"/>
  <c r="Q13" i="1" s="1"/>
  <c r="R13" i="1" a="1"/>
  <c r="R13" i="1" s="1"/>
  <c r="S13" i="1" a="1"/>
  <c r="S13" i="1" s="1"/>
  <c r="T13" i="1" a="1"/>
  <c r="T13" i="1" s="1"/>
  <c r="U13" i="1" a="1"/>
  <c r="U13" i="1" s="1"/>
  <c r="V13" i="1" a="1"/>
  <c r="V13" i="1" s="1"/>
  <c r="W13" i="1" a="1"/>
  <c r="W13" i="1" s="1"/>
  <c r="X13" i="1" a="1"/>
  <c r="X13" i="1" s="1"/>
  <c r="Y13" i="1" a="1"/>
  <c r="Y13" i="1" s="1"/>
  <c r="B14" i="1" a="1"/>
  <c r="B14" i="1" s="1"/>
  <c r="C14" i="1" a="1"/>
  <c r="C14" i="1" s="1"/>
  <c r="D14" i="1" a="1"/>
  <c r="D14" i="1" s="1"/>
  <c r="H14" i="1" a="1"/>
  <c r="H14" i="1" s="1"/>
  <c r="I14" i="1" a="1"/>
  <c r="I14" i="1" s="1"/>
  <c r="J14" i="1" a="1"/>
  <c r="J14" i="1" s="1"/>
  <c r="K14" i="1" a="1"/>
  <c r="K14" i="1" s="1"/>
  <c r="L14" i="1" a="1"/>
  <c r="L14" i="1" s="1"/>
  <c r="M14" i="1" a="1"/>
  <c r="M14" i="1" s="1"/>
  <c r="N14" i="1" a="1"/>
  <c r="N14" i="1" s="1"/>
  <c r="O14" i="1" a="1"/>
  <c r="O14" i="1" s="1"/>
  <c r="P14" i="1" a="1"/>
  <c r="P14" i="1" s="1"/>
  <c r="Q14" i="1" a="1"/>
  <c r="Q14" i="1" s="1"/>
  <c r="R14" i="1" a="1"/>
  <c r="R14" i="1" s="1"/>
  <c r="S14" i="1" a="1"/>
  <c r="S14" i="1" s="1"/>
  <c r="T14" i="1" a="1"/>
  <c r="T14" i="1" s="1"/>
  <c r="U14" i="1" a="1"/>
  <c r="U14" i="1" s="1"/>
  <c r="V14" i="1" a="1"/>
  <c r="V14" i="1" s="1"/>
  <c r="W14" i="1" a="1"/>
  <c r="W14" i="1" s="1"/>
  <c r="X14" i="1" a="1"/>
  <c r="X14" i="1" s="1"/>
  <c r="Y14" i="1" a="1"/>
  <c r="Y14" i="1" s="1"/>
  <c r="B15" i="1" a="1"/>
  <c r="B15" i="1" s="1"/>
  <c r="C15" i="1" a="1"/>
  <c r="C15" i="1" s="1"/>
  <c r="D15" i="1" a="1"/>
  <c r="D15" i="1" s="1"/>
  <c r="H15" i="1" a="1"/>
  <c r="H15" i="1" s="1"/>
  <c r="I15" i="1" a="1"/>
  <c r="I15" i="1" s="1"/>
  <c r="J15" i="1" a="1"/>
  <c r="J15" i="1" s="1"/>
  <c r="K15" i="1" a="1"/>
  <c r="K15" i="1" s="1"/>
  <c r="L15" i="1" a="1"/>
  <c r="L15" i="1" s="1"/>
  <c r="M15" i="1" a="1"/>
  <c r="M15" i="1" s="1"/>
  <c r="N15" i="1" a="1"/>
  <c r="N15" i="1" s="1"/>
  <c r="O15" i="1" a="1"/>
  <c r="O15" i="1" s="1"/>
  <c r="P15" i="1" a="1"/>
  <c r="P15" i="1" s="1"/>
  <c r="Q15" i="1" a="1"/>
  <c r="Q15" i="1" s="1"/>
  <c r="R15" i="1" a="1"/>
  <c r="R15" i="1" s="1"/>
  <c r="S15" i="1" a="1"/>
  <c r="S15" i="1" s="1"/>
  <c r="T15" i="1" a="1"/>
  <c r="T15" i="1" s="1"/>
  <c r="U15" i="1" a="1"/>
  <c r="U15" i="1" s="1"/>
  <c r="V15" i="1" a="1"/>
  <c r="V15" i="1" s="1"/>
  <c r="W15" i="1" a="1"/>
  <c r="W15" i="1" s="1"/>
  <c r="X15" i="1" a="1"/>
  <c r="X15" i="1" s="1"/>
  <c r="Y15" i="1" a="1"/>
  <c r="Y15" i="1" s="1"/>
  <c r="B16" i="1" a="1"/>
  <c r="B16" i="1" s="1"/>
  <c r="C16" i="1" a="1"/>
  <c r="C16" i="1" s="1"/>
  <c r="D16" i="1" a="1"/>
  <c r="D16" i="1" s="1"/>
  <c r="H16" i="1" a="1"/>
  <c r="H16" i="1" s="1"/>
  <c r="I16" i="1" a="1"/>
  <c r="I16" i="1" s="1"/>
  <c r="J16" i="1" a="1"/>
  <c r="J16" i="1" s="1"/>
  <c r="K16" i="1" a="1"/>
  <c r="K16" i="1" s="1"/>
  <c r="L16" i="1" a="1"/>
  <c r="L16" i="1" s="1"/>
  <c r="M16" i="1" a="1"/>
  <c r="M16" i="1" s="1"/>
  <c r="N16" i="1" a="1"/>
  <c r="N16" i="1" s="1"/>
  <c r="O16" i="1" a="1"/>
  <c r="O16" i="1" s="1"/>
  <c r="P16" i="1" a="1"/>
  <c r="P16" i="1" s="1"/>
  <c r="Q16" i="1" a="1"/>
  <c r="Q16" i="1" s="1"/>
  <c r="R16" i="1" a="1"/>
  <c r="R16" i="1" s="1"/>
  <c r="S16" i="1" a="1"/>
  <c r="S16" i="1" s="1"/>
  <c r="T16" i="1" a="1"/>
  <c r="T16" i="1" s="1"/>
  <c r="U16" i="1" a="1"/>
  <c r="U16" i="1" s="1"/>
  <c r="V16" i="1" a="1"/>
  <c r="V16" i="1" s="1"/>
  <c r="W16" i="1" a="1"/>
  <c r="W16" i="1" s="1"/>
  <c r="X16" i="1" a="1"/>
  <c r="X16" i="1" s="1"/>
  <c r="Y16" i="1" a="1"/>
  <c r="Y16" i="1" s="1"/>
  <c r="B17" i="1" a="1"/>
  <c r="B17" i="1" s="1"/>
  <c r="C17" i="1" a="1"/>
  <c r="C17" i="1" s="1"/>
  <c r="D17" i="1" a="1"/>
  <c r="D17" i="1" s="1"/>
  <c r="H17" i="1" a="1"/>
  <c r="H17" i="1" s="1"/>
  <c r="I17" i="1" a="1"/>
  <c r="I17" i="1" s="1"/>
  <c r="J17" i="1" a="1"/>
  <c r="J17" i="1" s="1"/>
  <c r="K17" i="1" a="1"/>
  <c r="K17" i="1" s="1"/>
  <c r="L17" i="1" a="1"/>
  <c r="L17" i="1" s="1"/>
  <c r="M17" i="1" a="1"/>
  <c r="M17" i="1" s="1"/>
  <c r="N17" i="1" a="1"/>
  <c r="N17" i="1" s="1"/>
  <c r="O17" i="1" a="1"/>
  <c r="O17" i="1" s="1"/>
  <c r="P17" i="1" a="1"/>
  <c r="P17" i="1" s="1"/>
  <c r="Q17" i="1" a="1"/>
  <c r="Q17" i="1" s="1"/>
  <c r="R17" i="1" a="1"/>
  <c r="R17" i="1" s="1"/>
  <c r="S17" i="1" a="1"/>
  <c r="S17" i="1" s="1"/>
  <c r="T17" i="1" a="1"/>
  <c r="T17" i="1" s="1"/>
  <c r="U17" i="1" a="1"/>
  <c r="U17" i="1" s="1"/>
  <c r="V17" i="1" a="1"/>
  <c r="V17" i="1" s="1"/>
  <c r="W17" i="1" a="1"/>
  <c r="W17" i="1" s="1"/>
  <c r="X17" i="1" a="1"/>
  <c r="X17" i="1" s="1"/>
  <c r="Y17" i="1" a="1"/>
  <c r="Y17" i="1" s="1"/>
  <c r="B18" i="1" a="1"/>
  <c r="B18" i="1" s="1"/>
  <c r="C18" i="1" a="1"/>
  <c r="C18" i="1" s="1"/>
  <c r="D18" i="1" a="1"/>
  <c r="D18" i="1" s="1"/>
  <c r="H18" i="1" a="1"/>
  <c r="H18" i="1" s="1"/>
  <c r="I18" i="1" a="1"/>
  <c r="I18" i="1" s="1"/>
  <c r="J18" i="1" a="1"/>
  <c r="J18" i="1" s="1"/>
  <c r="K18" i="1" a="1"/>
  <c r="K18" i="1" s="1"/>
  <c r="L18" i="1" a="1"/>
  <c r="L18" i="1" s="1"/>
  <c r="M18" i="1" a="1"/>
  <c r="M18" i="1" s="1"/>
  <c r="N18" i="1" a="1"/>
  <c r="N18" i="1" s="1"/>
  <c r="O18" i="1" a="1"/>
  <c r="O18" i="1" s="1"/>
  <c r="P18" i="1" a="1"/>
  <c r="P18" i="1" s="1"/>
  <c r="Q18" i="1" a="1"/>
  <c r="Q18" i="1" s="1"/>
  <c r="R18" i="1" a="1"/>
  <c r="R18" i="1" s="1"/>
  <c r="S18" i="1" a="1"/>
  <c r="S18" i="1" s="1"/>
  <c r="T18" i="1" a="1"/>
  <c r="T18" i="1" s="1"/>
  <c r="U18" i="1" a="1"/>
  <c r="U18" i="1" s="1"/>
  <c r="V18" i="1" a="1"/>
  <c r="V18" i="1" s="1"/>
  <c r="W18" i="1" a="1"/>
  <c r="W18" i="1" s="1"/>
  <c r="X18" i="1" a="1"/>
  <c r="X18" i="1" s="1"/>
  <c r="Y18" i="1" a="1"/>
  <c r="Y18" i="1" s="1"/>
  <c r="B19" i="1" a="1"/>
  <c r="B19" i="1" s="1"/>
  <c r="C19" i="1" a="1"/>
  <c r="C19" i="1" s="1"/>
  <c r="D19" i="1" a="1"/>
  <c r="D19" i="1" s="1"/>
  <c r="H19" i="1" a="1"/>
  <c r="H19" i="1" s="1"/>
  <c r="I19" i="1" a="1"/>
  <c r="I19" i="1" s="1"/>
  <c r="J19" i="1" a="1"/>
  <c r="J19" i="1" s="1"/>
  <c r="K19" i="1" a="1"/>
  <c r="K19" i="1" s="1"/>
  <c r="L19" i="1" a="1"/>
  <c r="L19" i="1" s="1"/>
  <c r="M19" i="1" a="1"/>
  <c r="M19" i="1" s="1"/>
  <c r="N19" i="1" a="1"/>
  <c r="N19" i="1" s="1"/>
  <c r="O19" i="1" a="1"/>
  <c r="O19" i="1" s="1"/>
  <c r="P19" i="1" a="1"/>
  <c r="P19" i="1" s="1"/>
  <c r="Q19" i="1" a="1"/>
  <c r="Q19" i="1" s="1"/>
  <c r="R19" i="1" a="1"/>
  <c r="R19" i="1" s="1"/>
  <c r="S19" i="1" a="1"/>
  <c r="S19" i="1" s="1"/>
  <c r="T19" i="1" a="1"/>
  <c r="T19" i="1" s="1"/>
  <c r="U19" i="1" a="1"/>
  <c r="U19" i="1" s="1"/>
  <c r="V19" i="1" a="1"/>
  <c r="V19" i="1" s="1"/>
  <c r="W19" i="1" a="1"/>
  <c r="W19" i="1" s="1"/>
  <c r="X19" i="1" a="1"/>
  <c r="X19" i="1" s="1"/>
  <c r="Y19" i="1" a="1"/>
  <c r="Y19" i="1" s="1"/>
  <c r="B20" i="1" a="1"/>
  <c r="B20" i="1" s="1"/>
  <c r="C20" i="1" a="1"/>
  <c r="C20" i="1" s="1"/>
  <c r="D20" i="1" a="1"/>
  <c r="D20" i="1" s="1"/>
  <c r="H20" i="1" a="1"/>
  <c r="H20" i="1" s="1"/>
  <c r="I20" i="1" a="1"/>
  <c r="I20" i="1" s="1"/>
  <c r="J20" i="1" a="1"/>
  <c r="J20" i="1" s="1"/>
  <c r="K20" i="1" a="1"/>
  <c r="K20" i="1" s="1"/>
  <c r="L20" i="1" a="1"/>
  <c r="L20" i="1" s="1"/>
  <c r="M20" i="1" a="1"/>
  <c r="M20" i="1" s="1"/>
  <c r="N20" i="1" a="1"/>
  <c r="N20" i="1" s="1"/>
  <c r="O20" i="1" a="1"/>
  <c r="O20" i="1" s="1"/>
  <c r="P20" i="1" a="1"/>
  <c r="P20" i="1" s="1"/>
  <c r="Q20" i="1" a="1"/>
  <c r="Q20" i="1" s="1"/>
  <c r="R20" i="1" a="1"/>
  <c r="R20" i="1" s="1"/>
  <c r="S20" i="1" a="1"/>
  <c r="S20" i="1" s="1"/>
  <c r="T20" i="1" a="1"/>
  <c r="T20" i="1" s="1"/>
  <c r="U20" i="1" a="1"/>
  <c r="U20" i="1" s="1"/>
  <c r="V20" i="1" a="1"/>
  <c r="V20" i="1" s="1"/>
  <c r="W20" i="1" a="1"/>
  <c r="W20" i="1" s="1"/>
  <c r="X20" i="1" a="1"/>
  <c r="X20" i="1" s="1"/>
  <c r="Y20" i="1" a="1"/>
  <c r="Y20" i="1" s="1"/>
  <c r="B21" i="1" a="1"/>
  <c r="B21" i="1" s="1"/>
  <c r="C21" i="1" a="1"/>
  <c r="C21" i="1" s="1"/>
  <c r="D21" i="1" a="1"/>
  <c r="D21" i="1" s="1"/>
  <c r="H21" i="1" a="1"/>
  <c r="H21" i="1" s="1"/>
  <c r="I21" i="1" a="1"/>
  <c r="I21" i="1" s="1"/>
  <c r="J21" i="1" a="1"/>
  <c r="J21" i="1" s="1"/>
  <c r="K21" i="1" a="1"/>
  <c r="K21" i="1" s="1"/>
  <c r="L21" i="1" a="1"/>
  <c r="L21" i="1" s="1"/>
  <c r="M21" i="1" a="1"/>
  <c r="M21" i="1" s="1"/>
  <c r="N21" i="1" a="1"/>
  <c r="N21" i="1" s="1"/>
  <c r="O21" i="1" a="1"/>
  <c r="O21" i="1" s="1"/>
  <c r="P21" i="1" a="1"/>
  <c r="P21" i="1" s="1"/>
  <c r="Q21" i="1" a="1"/>
  <c r="Q21" i="1" s="1"/>
  <c r="R21" i="1" a="1"/>
  <c r="R21" i="1" s="1"/>
  <c r="S21" i="1" a="1"/>
  <c r="S21" i="1" s="1"/>
  <c r="T21" i="1" a="1"/>
  <c r="T21" i="1" s="1"/>
  <c r="U21" i="1" a="1"/>
  <c r="U21" i="1" s="1"/>
  <c r="V21" i="1" a="1"/>
  <c r="V21" i="1" s="1"/>
  <c r="W21" i="1" a="1"/>
  <c r="W21" i="1" s="1"/>
  <c r="X21" i="1" a="1"/>
  <c r="X21" i="1" s="1"/>
  <c r="Y21" i="1" a="1"/>
  <c r="Y21" i="1" s="1"/>
  <c r="B22" i="1" a="1"/>
  <c r="B22" i="1" s="1"/>
  <c r="C22" i="1" a="1"/>
  <c r="C22" i="1" s="1"/>
  <c r="D22" i="1" a="1"/>
  <c r="D22" i="1" s="1"/>
  <c r="H22" i="1" a="1"/>
  <c r="H22" i="1" s="1"/>
  <c r="I22" i="1" a="1"/>
  <c r="I22" i="1" s="1"/>
  <c r="J22" i="1" a="1"/>
  <c r="J22" i="1" s="1"/>
  <c r="K22" i="1" a="1"/>
  <c r="K22" i="1" s="1"/>
  <c r="L22" i="1" a="1"/>
  <c r="L22" i="1" s="1"/>
  <c r="M22" i="1" a="1"/>
  <c r="M22" i="1" s="1"/>
  <c r="N22" i="1" a="1"/>
  <c r="N22" i="1" s="1"/>
  <c r="O22" i="1" a="1"/>
  <c r="O22" i="1" s="1"/>
  <c r="P22" i="1" a="1"/>
  <c r="P22" i="1" s="1"/>
  <c r="Q22" i="1" a="1"/>
  <c r="Q22" i="1" s="1"/>
  <c r="R22" i="1" a="1"/>
  <c r="R22" i="1" s="1"/>
  <c r="S22" i="1" a="1"/>
  <c r="S22" i="1" s="1"/>
  <c r="T22" i="1" a="1"/>
  <c r="T22" i="1" s="1"/>
  <c r="U22" i="1" a="1"/>
  <c r="U22" i="1" s="1"/>
  <c r="V22" i="1" a="1"/>
  <c r="V22" i="1" s="1"/>
  <c r="W22" i="1" a="1"/>
  <c r="W22" i="1" s="1"/>
  <c r="X22" i="1" a="1"/>
  <c r="X22" i="1" s="1"/>
  <c r="Y22" i="1" a="1"/>
  <c r="Y22" i="1" s="1"/>
  <c r="B23" i="1" a="1"/>
  <c r="B23" i="1" s="1"/>
  <c r="C23" i="1" a="1"/>
  <c r="C23" i="1" s="1"/>
  <c r="D23" i="1" a="1"/>
  <c r="D23" i="1" s="1"/>
  <c r="H23" i="1" a="1"/>
  <c r="H23" i="1" s="1"/>
  <c r="I23" i="1" a="1"/>
  <c r="I23" i="1" s="1"/>
  <c r="J23" i="1" a="1"/>
  <c r="J23" i="1" s="1"/>
  <c r="K23" i="1" a="1"/>
  <c r="K23" i="1" s="1"/>
  <c r="L23" i="1" a="1"/>
  <c r="L23" i="1" s="1"/>
  <c r="M23" i="1" a="1"/>
  <c r="M23" i="1" s="1"/>
  <c r="N23" i="1" a="1"/>
  <c r="N23" i="1" s="1"/>
  <c r="O23" i="1" a="1"/>
  <c r="O23" i="1" s="1"/>
  <c r="P23" i="1" a="1"/>
  <c r="P23" i="1" s="1"/>
  <c r="Q23" i="1" a="1"/>
  <c r="Q23" i="1" s="1"/>
  <c r="R23" i="1" a="1"/>
  <c r="R23" i="1" s="1"/>
  <c r="S23" i="1" a="1"/>
  <c r="S23" i="1" s="1"/>
  <c r="T23" i="1" a="1"/>
  <c r="T23" i="1" s="1"/>
  <c r="U23" i="1" a="1"/>
  <c r="U23" i="1" s="1"/>
  <c r="V23" i="1" a="1"/>
  <c r="V23" i="1" s="1"/>
  <c r="W23" i="1" a="1"/>
  <c r="W23" i="1" s="1"/>
  <c r="X23" i="1" a="1"/>
  <c r="X23" i="1" s="1"/>
  <c r="Y23" i="1" a="1"/>
  <c r="Y23" i="1" s="1"/>
  <c r="B24" i="1" a="1"/>
  <c r="B24" i="1" s="1"/>
  <c r="C24" i="1" a="1"/>
  <c r="C24" i="1" s="1"/>
  <c r="D24" i="1" a="1"/>
  <c r="D24" i="1" s="1"/>
  <c r="H24" i="1" a="1"/>
  <c r="H24" i="1" s="1"/>
  <c r="I24" i="1" a="1"/>
  <c r="I24" i="1" s="1"/>
  <c r="J24" i="1" a="1"/>
  <c r="J24" i="1" s="1"/>
  <c r="K24" i="1" a="1"/>
  <c r="K24" i="1" s="1"/>
  <c r="L24" i="1" a="1"/>
  <c r="L24" i="1" s="1"/>
  <c r="M24" i="1" a="1"/>
  <c r="M24" i="1" s="1"/>
  <c r="N24" i="1" a="1"/>
  <c r="N24" i="1" s="1"/>
  <c r="O24" i="1" a="1"/>
  <c r="O24" i="1" s="1"/>
  <c r="P24" i="1" a="1"/>
  <c r="P24" i="1" s="1"/>
  <c r="Q24" i="1" a="1"/>
  <c r="Q24" i="1" s="1"/>
  <c r="R24" i="1" a="1"/>
  <c r="R24" i="1" s="1"/>
  <c r="S24" i="1" a="1"/>
  <c r="S24" i="1" s="1"/>
  <c r="T24" i="1" a="1"/>
  <c r="T24" i="1" s="1"/>
  <c r="U24" i="1" a="1"/>
  <c r="U24" i="1" s="1"/>
  <c r="V24" i="1" a="1"/>
  <c r="V24" i="1" s="1"/>
  <c r="W24" i="1" a="1"/>
  <c r="W24" i="1" s="1"/>
  <c r="X24" i="1" a="1"/>
  <c r="X24" i="1" s="1"/>
  <c r="Y24" i="1" a="1"/>
  <c r="Y24" i="1" s="1"/>
  <c r="B25" i="1" a="1"/>
  <c r="B25" i="1" s="1"/>
  <c r="C25" i="1" a="1"/>
  <c r="C25" i="1" s="1"/>
  <c r="D25" i="1" a="1"/>
  <c r="D25" i="1" s="1"/>
  <c r="H25" i="1" a="1"/>
  <c r="H25" i="1" s="1"/>
  <c r="I25" i="1" a="1"/>
  <c r="I25" i="1" s="1"/>
  <c r="J25" i="1" a="1"/>
  <c r="J25" i="1" s="1"/>
  <c r="K25" i="1" a="1"/>
  <c r="K25" i="1" s="1"/>
  <c r="L25" i="1" a="1"/>
  <c r="L25" i="1" s="1"/>
  <c r="M25" i="1" a="1"/>
  <c r="M25" i="1" s="1"/>
  <c r="N25" i="1" a="1"/>
  <c r="N25" i="1" s="1"/>
  <c r="O25" i="1" a="1"/>
  <c r="O25" i="1" s="1"/>
  <c r="P25" i="1" a="1"/>
  <c r="P25" i="1" s="1"/>
  <c r="Q25" i="1" a="1"/>
  <c r="Q25" i="1" s="1"/>
  <c r="R25" i="1" a="1"/>
  <c r="R25" i="1" s="1"/>
  <c r="S25" i="1" a="1"/>
  <c r="S25" i="1" s="1"/>
  <c r="T25" i="1" a="1"/>
  <c r="T25" i="1" s="1"/>
  <c r="U25" i="1" a="1"/>
  <c r="U25" i="1" s="1"/>
  <c r="V25" i="1" a="1"/>
  <c r="V25" i="1" s="1"/>
  <c r="W25" i="1" a="1"/>
  <c r="W25" i="1" s="1"/>
  <c r="X25" i="1" a="1"/>
  <c r="X25" i="1" s="1"/>
  <c r="Y25" i="1" a="1"/>
  <c r="Y25" i="1" s="1"/>
  <c r="B26" i="1" a="1"/>
  <c r="B26" i="1" s="1"/>
  <c r="C26" i="1" a="1"/>
  <c r="C26" i="1" s="1"/>
  <c r="D26" i="1" a="1"/>
  <c r="D26" i="1" s="1"/>
  <c r="H26" i="1" a="1"/>
  <c r="H26" i="1" s="1"/>
  <c r="I26" i="1" a="1"/>
  <c r="I26" i="1" s="1"/>
  <c r="J26" i="1" a="1"/>
  <c r="J26" i="1" s="1"/>
  <c r="K26" i="1" a="1"/>
  <c r="K26" i="1" s="1"/>
  <c r="L26" i="1" a="1"/>
  <c r="L26" i="1" s="1"/>
  <c r="M26" i="1" a="1"/>
  <c r="M26" i="1" s="1"/>
  <c r="N26" i="1" a="1"/>
  <c r="N26" i="1" s="1"/>
  <c r="O26" i="1" a="1"/>
  <c r="O26" i="1" s="1"/>
  <c r="P26" i="1" a="1"/>
  <c r="P26" i="1" s="1"/>
  <c r="Q26" i="1" a="1"/>
  <c r="Q26" i="1" s="1"/>
  <c r="R26" i="1" a="1"/>
  <c r="R26" i="1" s="1"/>
  <c r="S26" i="1" a="1"/>
  <c r="S26" i="1" s="1"/>
  <c r="T26" i="1" a="1"/>
  <c r="T26" i="1" s="1"/>
  <c r="U26" i="1" a="1"/>
  <c r="U26" i="1" s="1"/>
  <c r="V26" i="1" a="1"/>
  <c r="V26" i="1" s="1"/>
  <c r="W26" i="1" a="1"/>
  <c r="W26" i="1" s="1"/>
  <c r="X26" i="1" a="1"/>
  <c r="X26" i="1" s="1"/>
  <c r="Y26" i="1" a="1"/>
  <c r="Y26" i="1" s="1"/>
  <c r="B27" i="1" a="1"/>
  <c r="B27" i="1" s="1"/>
  <c r="C27" i="1" a="1"/>
  <c r="C27" i="1" s="1"/>
  <c r="D27" i="1" a="1"/>
  <c r="D27" i="1" s="1"/>
  <c r="H27" i="1" a="1"/>
  <c r="H27" i="1" s="1"/>
  <c r="I27" i="1" a="1"/>
  <c r="I27" i="1" s="1"/>
  <c r="J27" i="1" a="1"/>
  <c r="J27" i="1" s="1"/>
  <c r="K27" i="1" a="1"/>
  <c r="K27" i="1" s="1"/>
  <c r="L27" i="1" a="1"/>
  <c r="L27" i="1" s="1"/>
  <c r="M27" i="1" a="1"/>
  <c r="M27" i="1" s="1"/>
  <c r="N27" i="1" a="1"/>
  <c r="N27" i="1" s="1"/>
  <c r="O27" i="1" a="1"/>
  <c r="O27" i="1" s="1"/>
  <c r="P27" i="1" a="1"/>
  <c r="P27" i="1" s="1"/>
  <c r="Q27" i="1" a="1"/>
  <c r="Q27" i="1" s="1"/>
  <c r="R27" i="1" a="1"/>
  <c r="R27" i="1" s="1"/>
  <c r="S27" i="1" a="1"/>
  <c r="S27" i="1" s="1"/>
  <c r="T27" i="1" a="1"/>
  <c r="T27" i="1" s="1"/>
  <c r="U27" i="1" a="1"/>
  <c r="U27" i="1" s="1"/>
  <c r="V27" i="1" a="1"/>
  <c r="V27" i="1" s="1"/>
  <c r="W27" i="1" a="1"/>
  <c r="W27" i="1" s="1"/>
  <c r="X27" i="1" a="1"/>
  <c r="X27" i="1" s="1"/>
  <c r="Y27" i="1" a="1"/>
  <c r="Y27" i="1" s="1"/>
  <c r="B28" i="1" a="1"/>
  <c r="B28" i="1" s="1"/>
  <c r="C28" i="1" a="1"/>
  <c r="C28" i="1" s="1"/>
  <c r="D28" i="1" a="1"/>
  <c r="D28" i="1" s="1"/>
  <c r="H28" i="1" a="1"/>
  <c r="H28" i="1" s="1"/>
  <c r="I28" i="1" a="1"/>
  <c r="I28" i="1" s="1"/>
  <c r="J28" i="1" a="1"/>
  <c r="J28" i="1" s="1"/>
  <c r="K28" i="1" a="1"/>
  <c r="K28" i="1" s="1"/>
  <c r="L28" i="1" a="1"/>
  <c r="L28" i="1" s="1"/>
  <c r="M28" i="1" a="1"/>
  <c r="M28" i="1" s="1"/>
  <c r="N28" i="1" a="1"/>
  <c r="N28" i="1" s="1"/>
  <c r="O28" i="1" a="1"/>
  <c r="O28" i="1" s="1"/>
  <c r="P28" i="1" a="1"/>
  <c r="P28" i="1" s="1"/>
  <c r="Q28" i="1" a="1"/>
  <c r="Q28" i="1" s="1"/>
  <c r="R28" i="1" a="1"/>
  <c r="R28" i="1" s="1"/>
  <c r="S28" i="1" a="1"/>
  <c r="S28" i="1" s="1"/>
  <c r="T28" i="1" a="1"/>
  <c r="T28" i="1" s="1"/>
  <c r="U28" i="1" a="1"/>
  <c r="U28" i="1" s="1"/>
  <c r="V28" i="1" a="1"/>
  <c r="V28" i="1" s="1"/>
  <c r="W28" i="1" a="1"/>
  <c r="W28" i="1" s="1"/>
  <c r="X28" i="1" a="1"/>
  <c r="X28" i="1" s="1"/>
  <c r="Y28" i="1" a="1"/>
  <c r="Y28" i="1" s="1"/>
  <c r="B29" i="1" a="1"/>
  <c r="B29" i="1" s="1"/>
  <c r="C29" i="1" a="1"/>
  <c r="C29" i="1" s="1"/>
  <c r="D29" i="1" a="1"/>
  <c r="D29" i="1" s="1"/>
  <c r="H29" i="1" a="1"/>
  <c r="H29" i="1" s="1"/>
  <c r="I29" i="1" a="1"/>
  <c r="I29" i="1" s="1"/>
  <c r="J29" i="1" a="1"/>
  <c r="J29" i="1" s="1"/>
  <c r="K29" i="1" a="1"/>
  <c r="K29" i="1" s="1"/>
  <c r="L29" i="1" a="1"/>
  <c r="L29" i="1" s="1"/>
  <c r="M29" i="1" a="1"/>
  <c r="M29" i="1" s="1"/>
  <c r="N29" i="1" a="1"/>
  <c r="N29" i="1" s="1"/>
  <c r="O29" i="1" a="1"/>
  <c r="O29" i="1" s="1"/>
  <c r="P29" i="1" a="1"/>
  <c r="P29" i="1" s="1"/>
  <c r="Q29" i="1" a="1"/>
  <c r="Q29" i="1" s="1"/>
  <c r="R29" i="1" a="1"/>
  <c r="R29" i="1" s="1"/>
  <c r="S29" i="1" a="1"/>
  <c r="S29" i="1" s="1"/>
  <c r="T29" i="1" a="1"/>
  <c r="T29" i="1" s="1"/>
  <c r="U29" i="1" a="1"/>
  <c r="U29" i="1" s="1"/>
  <c r="V29" i="1" a="1"/>
  <c r="V29" i="1" s="1"/>
  <c r="W29" i="1" a="1"/>
  <c r="W29" i="1" s="1"/>
  <c r="X29" i="1" a="1"/>
  <c r="X29" i="1" s="1"/>
  <c r="Y29" i="1" a="1"/>
  <c r="Y29" i="1" s="1"/>
  <c r="B30" i="1" a="1"/>
  <c r="B30" i="1" s="1"/>
  <c r="C30" i="1" a="1"/>
  <c r="C30" i="1" s="1"/>
  <c r="D30" i="1" a="1"/>
  <c r="D30" i="1" s="1"/>
  <c r="H30" i="1" a="1"/>
  <c r="H30" i="1" s="1"/>
  <c r="I30" i="1" a="1"/>
  <c r="I30" i="1" s="1"/>
  <c r="J30" i="1" a="1"/>
  <c r="J30" i="1" s="1"/>
  <c r="K30" i="1" a="1"/>
  <c r="K30" i="1" s="1"/>
  <c r="L30" i="1" a="1"/>
  <c r="L30" i="1" s="1"/>
  <c r="M30" i="1" a="1"/>
  <c r="M30" i="1" s="1"/>
  <c r="N30" i="1" a="1"/>
  <c r="N30" i="1" s="1"/>
  <c r="O30" i="1" a="1"/>
  <c r="O30" i="1" s="1"/>
  <c r="P30" i="1" a="1"/>
  <c r="P30" i="1" s="1"/>
  <c r="Q30" i="1" a="1"/>
  <c r="Q30" i="1" s="1"/>
  <c r="R30" i="1" a="1"/>
  <c r="R30" i="1" s="1"/>
  <c r="S30" i="1" a="1"/>
  <c r="S30" i="1" s="1"/>
  <c r="T30" i="1" a="1"/>
  <c r="T30" i="1" s="1"/>
  <c r="U30" i="1" a="1"/>
  <c r="U30" i="1" s="1"/>
  <c r="V30" i="1" a="1"/>
  <c r="V30" i="1" s="1"/>
  <c r="W30" i="1" a="1"/>
  <c r="W30" i="1" s="1"/>
  <c r="X30" i="1" a="1"/>
  <c r="X30" i="1" s="1"/>
  <c r="Y30" i="1" a="1"/>
  <c r="Y30" i="1" s="1"/>
  <c r="B31" i="1" a="1"/>
  <c r="B31" i="1" s="1"/>
  <c r="C31" i="1" a="1"/>
  <c r="C31" i="1" s="1"/>
  <c r="D31" i="1" a="1"/>
  <c r="D31" i="1" s="1"/>
  <c r="H31" i="1" a="1"/>
  <c r="H31" i="1" s="1"/>
  <c r="I31" i="1" a="1"/>
  <c r="I31" i="1" s="1"/>
  <c r="J31" i="1" a="1"/>
  <c r="J31" i="1" s="1"/>
  <c r="K31" i="1" a="1"/>
  <c r="K31" i="1" s="1"/>
  <c r="L31" i="1" a="1"/>
  <c r="L31" i="1" s="1"/>
  <c r="M31" i="1" a="1"/>
  <c r="M31" i="1" s="1"/>
  <c r="N31" i="1" a="1"/>
  <c r="N31" i="1" s="1"/>
  <c r="O31" i="1" a="1"/>
  <c r="O31" i="1" s="1"/>
  <c r="P31" i="1" a="1"/>
  <c r="P31" i="1" s="1"/>
  <c r="Q31" i="1" a="1"/>
  <c r="Q31" i="1" s="1"/>
  <c r="R31" i="1" a="1"/>
  <c r="R31" i="1" s="1"/>
  <c r="S31" i="1" a="1"/>
  <c r="S31" i="1" s="1"/>
  <c r="T31" i="1" a="1"/>
  <c r="T31" i="1" s="1"/>
  <c r="U31" i="1" a="1"/>
  <c r="U31" i="1" s="1"/>
  <c r="V31" i="1" a="1"/>
  <c r="V31" i="1" s="1"/>
  <c r="W31" i="1" a="1"/>
  <c r="W31" i="1" s="1"/>
  <c r="X31" i="1" a="1"/>
  <c r="X31" i="1" s="1"/>
  <c r="Y31" i="1" a="1"/>
  <c r="Y31" i="1" s="1"/>
  <c r="B32" i="1" a="1"/>
  <c r="B32" i="1" s="1"/>
  <c r="C32" i="1" a="1"/>
  <c r="C32" i="1" s="1"/>
  <c r="D32" i="1" a="1"/>
  <c r="D32" i="1" s="1"/>
  <c r="H32" i="1" a="1"/>
  <c r="H32" i="1" s="1"/>
  <c r="I32" i="1" a="1"/>
  <c r="I32" i="1" s="1"/>
  <c r="J32" i="1" a="1"/>
  <c r="J32" i="1" s="1"/>
  <c r="K32" i="1" a="1"/>
  <c r="K32" i="1" s="1"/>
  <c r="L32" i="1" a="1"/>
  <c r="L32" i="1" s="1"/>
  <c r="M32" i="1" a="1"/>
  <c r="M32" i="1" s="1"/>
  <c r="N32" i="1" a="1"/>
  <c r="N32" i="1" s="1"/>
  <c r="O32" i="1" a="1"/>
  <c r="O32" i="1" s="1"/>
  <c r="P32" i="1" a="1"/>
  <c r="P32" i="1" s="1"/>
  <c r="Q32" i="1" a="1"/>
  <c r="Q32" i="1" s="1"/>
  <c r="R32" i="1" a="1"/>
  <c r="R32" i="1" s="1"/>
  <c r="S32" i="1" a="1"/>
  <c r="S32" i="1" s="1"/>
  <c r="T32" i="1" a="1"/>
  <c r="T32" i="1" s="1"/>
  <c r="U32" i="1" a="1"/>
  <c r="U32" i="1" s="1"/>
  <c r="V32" i="1" a="1"/>
  <c r="V32" i="1" s="1"/>
  <c r="W32" i="1" a="1"/>
  <c r="W32" i="1" s="1"/>
  <c r="X32" i="1" a="1"/>
  <c r="X32" i="1" s="1"/>
  <c r="Y32" i="1" a="1"/>
  <c r="Y32" i="1" s="1"/>
  <c r="B33" i="1" a="1"/>
  <c r="B33" i="1" s="1"/>
  <c r="C33" i="1" a="1"/>
  <c r="C33" i="1" s="1"/>
  <c r="D33" i="1" a="1"/>
  <c r="D33" i="1" s="1"/>
  <c r="H33" i="1" a="1"/>
  <c r="H33" i="1" s="1"/>
  <c r="I33" i="1" a="1"/>
  <c r="I33" i="1" s="1"/>
  <c r="J33" i="1" a="1"/>
  <c r="J33" i="1" s="1"/>
  <c r="K33" i="1" a="1"/>
  <c r="K33" i="1" s="1"/>
  <c r="L33" i="1" a="1"/>
  <c r="L33" i="1" s="1"/>
  <c r="M33" i="1" a="1"/>
  <c r="M33" i="1" s="1"/>
  <c r="N33" i="1" a="1"/>
  <c r="N33" i="1" s="1"/>
  <c r="O33" i="1" a="1"/>
  <c r="O33" i="1" s="1"/>
  <c r="P33" i="1" a="1"/>
  <c r="P33" i="1" s="1"/>
  <c r="Q33" i="1" a="1"/>
  <c r="Q33" i="1" s="1"/>
  <c r="R33" i="1" a="1"/>
  <c r="R33" i="1" s="1"/>
  <c r="S33" i="1" a="1"/>
  <c r="S33" i="1" s="1"/>
  <c r="T33" i="1" a="1"/>
  <c r="T33" i="1" s="1"/>
  <c r="U33" i="1" a="1"/>
  <c r="U33" i="1" s="1"/>
  <c r="V33" i="1" a="1"/>
  <c r="V33" i="1" s="1"/>
  <c r="W33" i="1" a="1"/>
  <c r="W33" i="1" s="1"/>
  <c r="X33" i="1" a="1"/>
  <c r="X33" i="1" s="1"/>
  <c r="Y33" i="1" a="1"/>
  <c r="Y33" i="1" s="1"/>
  <c r="B34" i="1" a="1"/>
  <c r="B34" i="1" s="1"/>
  <c r="C34" i="1" a="1"/>
  <c r="C34" i="1" s="1"/>
  <c r="D34" i="1" a="1"/>
  <c r="D34" i="1" s="1"/>
  <c r="H34" i="1" a="1"/>
  <c r="H34" i="1" s="1"/>
  <c r="I34" i="1" a="1"/>
  <c r="I34" i="1" s="1"/>
  <c r="J34" i="1" a="1"/>
  <c r="J34" i="1" s="1"/>
  <c r="K34" i="1" a="1"/>
  <c r="K34" i="1" s="1"/>
  <c r="L34" i="1" a="1"/>
  <c r="L34" i="1" s="1"/>
  <c r="M34" i="1" a="1"/>
  <c r="M34" i="1" s="1"/>
  <c r="N34" i="1" a="1"/>
  <c r="N34" i="1" s="1"/>
  <c r="O34" i="1" a="1"/>
  <c r="O34" i="1" s="1"/>
  <c r="P34" i="1" a="1"/>
  <c r="P34" i="1" s="1"/>
  <c r="Q34" i="1" a="1"/>
  <c r="Q34" i="1" s="1"/>
  <c r="R34" i="1" a="1"/>
  <c r="R34" i="1" s="1"/>
  <c r="S34" i="1" a="1"/>
  <c r="S34" i="1" s="1"/>
  <c r="T34" i="1" a="1"/>
  <c r="T34" i="1" s="1"/>
  <c r="U34" i="1" a="1"/>
  <c r="U34" i="1" s="1"/>
  <c r="V34" i="1" a="1"/>
  <c r="V34" i="1" s="1"/>
  <c r="W34" i="1" a="1"/>
  <c r="W34" i="1" s="1"/>
  <c r="X34" i="1" a="1"/>
  <c r="X34" i="1" s="1"/>
  <c r="Y34" i="1" a="1"/>
  <c r="Y34" i="1" s="1"/>
  <c r="B35" i="1" a="1"/>
  <c r="B35" i="1" s="1"/>
  <c r="C35" i="1" a="1"/>
  <c r="C35" i="1" s="1"/>
  <c r="D35" i="1" a="1"/>
  <c r="D35" i="1" s="1"/>
  <c r="H35" i="1" a="1"/>
  <c r="H35" i="1" s="1"/>
  <c r="I35" i="1" a="1"/>
  <c r="I35" i="1" s="1"/>
  <c r="J35" i="1" a="1"/>
  <c r="J35" i="1" s="1"/>
  <c r="K35" i="1" a="1"/>
  <c r="K35" i="1" s="1"/>
  <c r="L35" i="1" a="1"/>
  <c r="L35" i="1" s="1"/>
  <c r="M35" i="1" a="1"/>
  <c r="M35" i="1" s="1"/>
  <c r="N35" i="1" a="1"/>
  <c r="N35" i="1" s="1"/>
  <c r="O35" i="1" a="1"/>
  <c r="O35" i="1" s="1"/>
  <c r="P35" i="1" a="1"/>
  <c r="P35" i="1" s="1"/>
  <c r="Q35" i="1" a="1"/>
  <c r="Q35" i="1" s="1"/>
  <c r="R35" i="1" a="1"/>
  <c r="R35" i="1" s="1"/>
  <c r="S35" i="1" a="1"/>
  <c r="S35" i="1" s="1"/>
  <c r="T35" i="1" a="1"/>
  <c r="T35" i="1" s="1"/>
  <c r="U35" i="1" a="1"/>
  <c r="U35" i="1" s="1"/>
  <c r="V35" i="1" a="1"/>
  <c r="V35" i="1" s="1"/>
  <c r="W35" i="1" a="1"/>
  <c r="W35" i="1" s="1"/>
  <c r="X35" i="1" a="1"/>
  <c r="X35" i="1" s="1"/>
  <c r="Y35" i="1" a="1"/>
  <c r="Y35" i="1" s="1"/>
  <c r="B36" i="1" a="1"/>
  <c r="B36" i="1" s="1"/>
  <c r="C36" i="1" a="1"/>
  <c r="C36" i="1" s="1"/>
  <c r="D36" i="1" a="1"/>
  <c r="D36" i="1" s="1"/>
  <c r="H36" i="1" a="1"/>
  <c r="H36" i="1" s="1"/>
  <c r="I36" i="1" a="1"/>
  <c r="I36" i="1" s="1"/>
  <c r="J36" i="1" a="1"/>
  <c r="J36" i="1" s="1"/>
  <c r="K36" i="1" a="1"/>
  <c r="K36" i="1" s="1"/>
  <c r="L36" i="1" a="1"/>
  <c r="L36" i="1" s="1"/>
  <c r="M36" i="1" a="1"/>
  <c r="M36" i="1" s="1"/>
  <c r="N36" i="1" a="1"/>
  <c r="N36" i="1" s="1"/>
  <c r="O36" i="1" a="1"/>
  <c r="O36" i="1" s="1"/>
  <c r="P36" i="1" a="1"/>
  <c r="P36" i="1" s="1"/>
  <c r="Q36" i="1" a="1"/>
  <c r="Q36" i="1" s="1"/>
  <c r="R36" i="1" a="1"/>
  <c r="R36" i="1" s="1"/>
  <c r="S36" i="1" a="1"/>
  <c r="S36" i="1" s="1"/>
  <c r="T36" i="1" a="1"/>
  <c r="T36" i="1" s="1"/>
  <c r="U36" i="1" a="1"/>
  <c r="U36" i="1" s="1"/>
  <c r="V36" i="1" a="1"/>
  <c r="V36" i="1" s="1"/>
  <c r="W36" i="1" a="1"/>
  <c r="W36" i="1" s="1"/>
  <c r="X36" i="1" a="1"/>
  <c r="X36" i="1" s="1"/>
  <c r="Y36" i="1" a="1"/>
  <c r="Y36" i="1" s="1"/>
  <c r="B37" i="1" a="1"/>
  <c r="B37" i="1" s="1"/>
  <c r="C37" i="1" a="1"/>
  <c r="C37" i="1" s="1"/>
  <c r="D37" i="1" a="1"/>
  <c r="D37" i="1" s="1"/>
  <c r="H37" i="1" a="1"/>
  <c r="H37" i="1" s="1"/>
  <c r="I37" i="1" a="1"/>
  <c r="I37" i="1" s="1"/>
  <c r="J37" i="1" a="1"/>
  <c r="J37" i="1" s="1"/>
  <c r="K37" i="1" a="1"/>
  <c r="K37" i="1" s="1"/>
  <c r="L37" i="1" a="1"/>
  <c r="L37" i="1" s="1"/>
  <c r="M37" i="1" a="1"/>
  <c r="M37" i="1" s="1"/>
  <c r="N37" i="1" a="1"/>
  <c r="N37" i="1" s="1"/>
  <c r="O37" i="1" a="1"/>
  <c r="O37" i="1" s="1"/>
  <c r="P37" i="1" a="1"/>
  <c r="P37" i="1" s="1"/>
  <c r="Q37" i="1" a="1"/>
  <c r="Q37" i="1" s="1"/>
  <c r="R37" i="1" a="1"/>
  <c r="R37" i="1" s="1"/>
  <c r="S37" i="1" a="1"/>
  <c r="S37" i="1" s="1"/>
  <c r="T37" i="1" a="1"/>
  <c r="T37" i="1" s="1"/>
  <c r="U37" i="1" a="1"/>
  <c r="U37" i="1" s="1"/>
  <c r="V37" i="1" a="1"/>
  <c r="V37" i="1" s="1"/>
  <c r="W37" i="1" a="1"/>
  <c r="W37" i="1" s="1"/>
  <c r="X37" i="1" a="1"/>
  <c r="X37" i="1" s="1"/>
  <c r="Y37" i="1" a="1"/>
  <c r="Y37" i="1" s="1"/>
  <c r="B38" i="1" a="1"/>
  <c r="B38" i="1" s="1"/>
  <c r="C38" i="1" a="1"/>
  <c r="C38" i="1" s="1"/>
  <c r="D38" i="1" a="1"/>
  <c r="D38" i="1" s="1"/>
  <c r="H38" i="1" a="1"/>
  <c r="H38" i="1" s="1"/>
  <c r="I38" i="1" a="1"/>
  <c r="I38" i="1" s="1"/>
  <c r="J38" i="1" a="1"/>
  <c r="J38" i="1" s="1"/>
  <c r="K38" i="1" a="1"/>
  <c r="K38" i="1" s="1"/>
  <c r="L38" i="1" a="1"/>
  <c r="L38" i="1" s="1"/>
  <c r="M38" i="1" a="1"/>
  <c r="M38" i="1" s="1"/>
  <c r="N38" i="1" a="1"/>
  <c r="N38" i="1" s="1"/>
  <c r="O38" i="1" a="1"/>
  <c r="O38" i="1" s="1"/>
  <c r="P38" i="1" a="1"/>
  <c r="P38" i="1" s="1"/>
  <c r="Q38" i="1" a="1"/>
  <c r="Q38" i="1" s="1"/>
  <c r="R38" i="1" a="1"/>
  <c r="R38" i="1" s="1"/>
  <c r="S38" i="1" a="1"/>
  <c r="S38" i="1" s="1"/>
  <c r="T38" i="1" a="1"/>
  <c r="T38" i="1" s="1"/>
  <c r="U38" i="1" a="1"/>
  <c r="U38" i="1" s="1"/>
  <c r="V38" i="1" a="1"/>
  <c r="V38" i="1" s="1"/>
  <c r="W38" i="1" a="1"/>
  <c r="W38" i="1" s="1"/>
  <c r="X38" i="1" a="1"/>
  <c r="X38" i="1" s="1"/>
  <c r="Y38" i="1" a="1"/>
  <c r="Y38" i="1" s="1"/>
  <c r="B39" i="1" a="1"/>
  <c r="B39" i="1" s="1"/>
  <c r="C39" i="1" a="1"/>
  <c r="C39" i="1" s="1"/>
  <c r="D39" i="1" a="1"/>
  <c r="D39" i="1" s="1"/>
  <c r="H39" i="1" a="1"/>
  <c r="H39" i="1" s="1"/>
  <c r="I39" i="1" a="1"/>
  <c r="I39" i="1" s="1"/>
  <c r="J39" i="1" a="1"/>
  <c r="J39" i="1" s="1"/>
  <c r="K39" i="1" a="1"/>
  <c r="K39" i="1" s="1"/>
  <c r="L39" i="1" a="1"/>
  <c r="L39" i="1" s="1"/>
  <c r="M39" i="1" a="1"/>
  <c r="M39" i="1" s="1"/>
  <c r="N39" i="1" a="1"/>
  <c r="N39" i="1" s="1"/>
  <c r="O39" i="1" a="1"/>
  <c r="O39" i="1" s="1"/>
  <c r="P39" i="1" a="1"/>
  <c r="P39" i="1" s="1"/>
  <c r="Q39" i="1" a="1"/>
  <c r="Q39" i="1" s="1"/>
  <c r="R39" i="1" a="1"/>
  <c r="R39" i="1" s="1"/>
  <c r="S39" i="1" a="1"/>
  <c r="S39" i="1" s="1"/>
  <c r="T39" i="1" a="1"/>
  <c r="T39" i="1" s="1"/>
  <c r="U39" i="1" a="1"/>
  <c r="U39" i="1" s="1"/>
  <c r="V39" i="1" a="1"/>
  <c r="V39" i="1" s="1"/>
  <c r="W39" i="1" a="1"/>
  <c r="W39" i="1" s="1"/>
  <c r="X39" i="1" a="1"/>
  <c r="X39" i="1" s="1"/>
  <c r="Y39" i="1" a="1"/>
  <c r="Y39" i="1" s="1"/>
  <c r="B40" i="1" a="1"/>
  <c r="B40" i="1" s="1"/>
  <c r="C40" i="1" a="1"/>
  <c r="C40" i="1" s="1"/>
  <c r="D40" i="1" a="1"/>
  <c r="D40" i="1" s="1"/>
  <c r="H40" i="1" a="1"/>
  <c r="H40" i="1" s="1"/>
  <c r="I40" i="1" a="1"/>
  <c r="I40" i="1" s="1"/>
  <c r="J40" i="1" a="1"/>
  <c r="J40" i="1" s="1"/>
  <c r="K40" i="1" a="1"/>
  <c r="K40" i="1" s="1"/>
  <c r="L40" i="1" a="1"/>
  <c r="L40" i="1" s="1"/>
  <c r="M40" i="1" a="1"/>
  <c r="M40" i="1" s="1"/>
  <c r="N40" i="1" a="1"/>
  <c r="N40" i="1" s="1"/>
  <c r="O40" i="1" a="1"/>
  <c r="O40" i="1" s="1"/>
  <c r="P40" i="1" a="1"/>
  <c r="P40" i="1" s="1"/>
  <c r="Q40" i="1" a="1"/>
  <c r="Q40" i="1" s="1"/>
  <c r="R40" i="1" a="1"/>
  <c r="R40" i="1" s="1"/>
  <c r="S40" i="1" a="1"/>
  <c r="S40" i="1" s="1"/>
  <c r="T40" i="1" a="1"/>
  <c r="T40" i="1" s="1"/>
  <c r="U40" i="1" a="1"/>
  <c r="U40" i="1" s="1"/>
  <c r="V40" i="1" a="1"/>
  <c r="V40" i="1" s="1"/>
  <c r="W40" i="1" a="1"/>
  <c r="W40" i="1" s="1"/>
  <c r="X40" i="1" a="1"/>
  <c r="X40" i="1" s="1"/>
  <c r="Y40" i="1" a="1"/>
  <c r="Y40" i="1" s="1"/>
  <c r="B41" i="1" a="1"/>
  <c r="B41" i="1" s="1"/>
  <c r="C41" i="1" a="1"/>
  <c r="C41" i="1" s="1"/>
  <c r="D41" i="1" a="1"/>
  <c r="D41" i="1" s="1"/>
  <c r="H41" i="1" a="1"/>
  <c r="H41" i="1" s="1"/>
  <c r="I41" i="1" a="1"/>
  <c r="I41" i="1" s="1"/>
  <c r="J41" i="1" a="1"/>
  <c r="J41" i="1" s="1"/>
  <c r="K41" i="1" a="1"/>
  <c r="K41" i="1" s="1"/>
  <c r="L41" i="1" a="1"/>
  <c r="L41" i="1" s="1"/>
  <c r="M41" i="1" a="1"/>
  <c r="M41" i="1" s="1"/>
  <c r="N41" i="1" a="1"/>
  <c r="N41" i="1" s="1"/>
  <c r="O41" i="1" a="1"/>
  <c r="O41" i="1" s="1"/>
  <c r="P41" i="1" a="1"/>
  <c r="P41" i="1" s="1"/>
  <c r="Q41" i="1" a="1"/>
  <c r="Q41" i="1" s="1"/>
  <c r="R41" i="1" a="1"/>
  <c r="R41" i="1" s="1"/>
  <c r="S41" i="1" a="1"/>
  <c r="S41" i="1" s="1"/>
  <c r="T41" i="1" a="1"/>
  <c r="T41" i="1" s="1"/>
  <c r="U41" i="1" a="1"/>
  <c r="U41" i="1" s="1"/>
  <c r="V41" i="1" a="1"/>
  <c r="V41" i="1" s="1"/>
  <c r="W41" i="1" a="1"/>
  <c r="W41" i="1" s="1"/>
  <c r="X41" i="1" a="1"/>
  <c r="X41" i="1" s="1"/>
  <c r="Y41" i="1" a="1"/>
  <c r="Y41" i="1" s="1"/>
  <c r="B42" i="1" a="1"/>
  <c r="B42" i="1" s="1"/>
  <c r="C42" i="1" a="1"/>
  <c r="C42" i="1" s="1"/>
  <c r="D42" i="1" a="1"/>
  <c r="D42" i="1" s="1"/>
  <c r="H42" i="1" a="1"/>
  <c r="H42" i="1" s="1"/>
  <c r="I42" i="1" a="1"/>
  <c r="I42" i="1" s="1"/>
  <c r="J42" i="1" a="1"/>
  <c r="J42" i="1" s="1"/>
  <c r="K42" i="1" a="1"/>
  <c r="K42" i="1" s="1"/>
  <c r="L42" i="1" a="1"/>
  <c r="L42" i="1" s="1"/>
  <c r="M42" i="1" a="1"/>
  <c r="M42" i="1" s="1"/>
  <c r="N42" i="1" a="1"/>
  <c r="N42" i="1" s="1"/>
  <c r="O42" i="1" a="1"/>
  <c r="O42" i="1" s="1"/>
  <c r="P42" i="1" a="1"/>
  <c r="P42" i="1" s="1"/>
  <c r="Q42" i="1" a="1"/>
  <c r="Q42" i="1" s="1"/>
  <c r="R42" i="1" a="1"/>
  <c r="R42" i="1" s="1"/>
  <c r="S42" i="1" a="1"/>
  <c r="S42" i="1" s="1"/>
  <c r="T42" i="1" a="1"/>
  <c r="T42" i="1" s="1"/>
  <c r="U42" i="1" a="1"/>
  <c r="U42" i="1" s="1"/>
  <c r="V42" i="1" a="1"/>
  <c r="V42" i="1" s="1"/>
  <c r="W42" i="1" a="1"/>
  <c r="W42" i="1" s="1"/>
  <c r="X42" i="1" a="1"/>
  <c r="X42" i="1" s="1"/>
  <c r="Y42" i="1" a="1"/>
  <c r="Y42" i="1" s="1"/>
  <c r="B43" i="1" a="1"/>
  <c r="B43" i="1" s="1"/>
  <c r="C43" i="1" a="1"/>
  <c r="C43" i="1" s="1"/>
  <c r="D43" i="1" a="1"/>
  <c r="D43" i="1" s="1"/>
  <c r="H43" i="1" a="1"/>
  <c r="H43" i="1" s="1"/>
  <c r="I43" i="1" a="1"/>
  <c r="I43" i="1" s="1"/>
  <c r="J43" i="1" a="1"/>
  <c r="J43" i="1" s="1"/>
  <c r="K43" i="1" a="1"/>
  <c r="K43" i="1" s="1"/>
  <c r="L43" i="1" a="1"/>
  <c r="L43" i="1" s="1"/>
  <c r="M43" i="1" a="1"/>
  <c r="M43" i="1" s="1"/>
  <c r="N43" i="1" a="1"/>
  <c r="N43" i="1" s="1"/>
  <c r="O43" i="1" a="1"/>
  <c r="O43" i="1" s="1"/>
  <c r="P43" i="1" a="1"/>
  <c r="P43" i="1" s="1"/>
  <c r="Q43" i="1" a="1"/>
  <c r="Q43" i="1" s="1"/>
  <c r="R43" i="1" a="1"/>
  <c r="R43" i="1" s="1"/>
  <c r="S43" i="1" a="1"/>
  <c r="S43" i="1" s="1"/>
  <c r="T43" i="1" a="1"/>
  <c r="T43" i="1" s="1"/>
  <c r="U43" i="1" a="1"/>
  <c r="U43" i="1" s="1"/>
  <c r="V43" i="1" a="1"/>
  <c r="V43" i="1" s="1"/>
  <c r="W43" i="1" a="1"/>
  <c r="W43" i="1" s="1"/>
  <c r="X43" i="1" a="1"/>
  <c r="X43" i="1" s="1"/>
  <c r="Y43" i="1" a="1"/>
  <c r="Y43" i="1" s="1"/>
  <c r="B44" i="1" a="1"/>
  <c r="B44" i="1" s="1"/>
  <c r="C44" i="1" a="1"/>
  <c r="C44" i="1" s="1"/>
  <c r="D44" i="1" a="1"/>
  <c r="D44" i="1" s="1"/>
  <c r="H44" i="1" a="1"/>
  <c r="H44" i="1" s="1"/>
  <c r="I44" i="1" a="1"/>
  <c r="I44" i="1" s="1"/>
  <c r="J44" i="1" a="1"/>
  <c r="J44" i="1" s="1"/>
  <c r="K44" i="1" a="1"/>
  <c r="K44" i="1" s="1"/>
  <c r="L44" i="1" a="1"/>
  <c r="L44" i="1" s="1"/>
  <c r="M44" i="1" a="1"/>
  <c r="M44" i="1" s="1"/>
  <c r="N44" i="1" a="1"/>
  <c r="N44" i="1" s="1"/>
  <c r="O44" i="1" a="1"/>
  <c r="O44" i="1" s="1"/>
  <c r="P44" i="1" a="1"/>
  <c r="P44" i="1" s="1"/>
  <c r="Q44" i="1" a="1"/>
  <c r="Q44" i="1" s="1"/>
  <c r="R44" i="1" a="1"/>
  <c r="R44" i="1" s="1"/>
  <c r="S44" i="1" a="1"/>
  <c r="S44" i="1" s="1"/>
  <c r="T44" i="1" a="1"/>
  <c r="T44" i="1" s="1"/>
  <c r="U44" i="1" a="1"/>
  <c r="U44" i="1" s="1"/>
  <c r="V44" i="1" a="1"/>
  <c r="V44" i="1" s="1"/>
  <c r="W44" i="1" a="1"/>
  <c r="W44" i="1" s="1"/>
  <c r="X44" i="1" a="1"/>
  <c r="X44" i="1" s="1"/>
  <c r="Y44" i="1" a="1"/>
  <c r="Y44" i="1" s="1"/>
  <c r="B45" i="1" a="1"/>
  <c r="B45" i="1" s="1"/>
  <c r="C45" i="1" a="1"/>
  <c r="C45" i="1" s="1"/>
  <c r="D45" i="1" a="1"/>
  <c r="D45" i="1" s="1"/>
  <c r="H45" i="1" a="1"/>
  <c r="H45" i="1" s="1"/>
  <c r="I45" i="1" a="1"/>
  <c r="I45" i="1" s="1"/>
  <c r="J45" i="1" a="1"/>
  <c r="J45" i="1" s="1"/>
  <c r="K45" i="1" a="1"/>
  <c r="K45" i="1" s="1"/>
  <c r="L45" i="1" a="1"/>
  <c r="L45" i="1" s="1"/>
  <c r="M45" i="1" a="1"/>
  <c r="M45" i="1" s="1"/>
  <c r="N45" i="1" a="1"/>
  <c r="N45" i="1" s="1"/>
  <c r="O45" i="1" a="1"/>
  <c r="O45" i="1" s="1"/>
  <c r="P45" i="1" a="1"/>
  <c r="P45" i="1" s="1"/>
  <c r="Q45" i="1" a="1"/>
  <c r="Q45" i="1" s="1"/>
  <c r="R45" i="1" a="1"/>
  <c r="R45" i="1" s="1"/>
  <c r="S45" i="1" a="1"/>
  <c r="S45" i="1" s="1"/>
  <c r="T45" i="1" a="1"/>
  <c r="T45" i="1" s="1"/>
  <c r="U45" i="1" a="1"/>
  <c r="U45" i="1" s="1"/>
  <c r="V45" i="1" a="1"/>
  <c r="V45" i="1" s="1"/>
  <c r="W45" i="1" a="1"/>
  <c r="W45" i="1" s="1"/>
  <c r="X45" i="1" a="1"/>
  <c r="X45" i="1" s="1"/>
  <c r="Y45" i="1" a="1"/>
  <c r="Y45" i="1" s="1"/>
  <c r="B46" i="1" a="1"/>
  <c r="B46" i="1" s="1"/>
  <c r="C46" i="1" a="1"/>
  <c r="C46" i="1" s="1"/>
  <c r="D46" i="1" a="1"/>
  <c r="D46" i="1" s="1"/>
  <c r="H46" i="1" a="1"/>
  <c r="H46" i="1" s="1"/>
  <c r="I46" i="1" a="1"/>
  <c r="I46" i="1" s="1"/>
  <c r="J46" i="1" a="1"/>
  <c r="J46" i="1" s="1"/>
  <c r="K46" i="1" a="1"/>
  <c r="K46" i="1" s="1"/>
  <c r="L46" i="1" a="1"/>
  <c r="L46" i="1" s="1"/>
  <c r="M46" i="1" a="1"/>
  <c r="M46" i="1" s="1"/>
  <c r="N46" i="1" a="1"/>
  <c r="N46" i="1" s="1"/>
  <c r="O46" i="1" a="1"/>
  <c r="O46" i="1" s="1"/>
  <c r="P46" i="1" a="1"/>
  <c r="P46" i="1" s="1"/>
  <c r="Q46" i="1" a="1"/>
  <c r="Q46" i="1" s="1"/>
  <c r="R46" i="1" a="1"/>
  <c r="R46" i="1" s="1"/>
  <c r="S46" i="1" a="1"/>
  <c r="S46" i="1" s="1"/>
  <c r="T46" i="1" a="1"/>
  <c r="T46" i="1" s="1"/>
  <c r="U46" i="1" a="1"/>
  <c r="U46" i="1" s="1"/>
  <c r="V46" i="1" a="1"/>
  <c r="V46" i="1" s="1"/>
  <c r="W46" i="1" a="1"/>
  <c r="W46" i="1" s="1"/>
  <c r="X46" i="1" a="1"/>
  <c r="X46" i="1" s="1"/>
  <c r="Y46" i="1" a="1"/>
  <c r="Y46" i="1" s="1"/>
  <c r="B47" i="1" a="1"/>
  <c r="B47" i="1" s="1"/>
  <c r="C47" i="1" a="1"/>
  <c r="C47" i="1" s="1"/>
  <c r="D47" i="1" a="1"/>
  <c r="D47" i="1" s="1"/>
  <c r="H47" i="1" a="1"/>
  <c r="H47" i="1" s="1"/>
  <c r="I47" i="1" a="1"/>
  <c r="I47" i="1" s="1"/>
  <c r="J47" i="1" a="1"/>
  <c r="J47" i="1" s="1"/>
  <c r="K47" i="1" a="1"/>
  <c r="K47" i="1" s="1"/>
  <c r="L47" i="1" a="1"/>
  <c r="L47" i="1" s="1"/>
  <c r="M47" i="1" a="1"/>
  <c r="M47" i="1" s="1"/>
  <c r="N47" i="1" a="1"/>
  <c r="N47" i="1" s="1"/>
  <c r="O47" i="1" a="1"/>
  <c r="O47" i="1" s="1"/>
  <c r="P47" i="1" a="1"/>
  <c r="P47" i="1" s="1"/>
  <c r="Q47" i="1" a="1"/>
  <c r="Q47" i="1" s="1"/>
  <c r="R47" i="1" a="1"/>
  <c r="R47" i="1" s="1"/>
  <c r="S47" i="1" a="1"/>
  <c r="S47" i="1" s="1"/>
  <c r="T47" i="1" a="1"/>
  <c r="T47" i="1" s="1"/>
  <c r="U47" i="1" a="1"/>
  <c r="U47" i="1" s="1"/>
  <c r="V47" i="1" a="1"/>
  <c r="V47" i="1" s="1"/>
  <c r="W47" i="1" a="1"/>
  <c r="W47" i="1" s="1"/>
  <c r="X47" i="1" a="1"/>
  <c r="X47" i="1" s="1"/>
  <c r="Y47" i="1" a="1"/>
  <c r="Y47" i="1" s="1"/>
  <c r="B48" i="1" a="1"/>
  <c r="B48" i="1" s="1"/>
  <c r="C48" i="1" a="1"/>
  <c r="C48" i="1" s="1"/>
  <c r="D48" i="1" a="1"/>
  <c r="D48" i="1" s="1"/>
  <c r="H48" i="1" a="1"/>
  <c r="H48" i="1" s="1"/>
  <c r="I48" i="1" a="1"/>
  <c r="I48" i="1" s="1"/>
  <c r="J48" i="1" a="1"/>
  <c r="J48" i="1" s="1"/>
  <c r="K48" i="1" a="1"/>
  <c r="K48" i="1" s="1"/>
  <c r="L48" i="1" a="1"/>
  <c r="L48" i="1" s="1"/>
  <c r="M48" i="1" a="1"/>
  <c r="M48" i="1" s="1"/>
  <c r="N48" i="1" a="1"/>
  <c r="N48" i="1" s="1"/>
  <c r="O48" i="1" a="1"/>
  <c r="O48" i="1" s="1"/>
  <c r="P48" i="1" a="1"/>
  <c r="P48" i="1" s="1"/>
  <c r="Q48" i="1" a="1"/>
  <c r="Q48" i="1" s="1"/>
  <c r="R48" i="1" a="1"/>
  <c r="R48" i="1" s="1"/>
  <c r="S48" i="1" a="1"/>
  <c r="S48" i="1" s="1"/>
  <c r="T48" i="1" a="1"/>
  <c r="T48" i="1" s="1"/>
  <c r="U48" i="1" a="1"/>
  <c r="U48" i="1" s="1"/>
  <c r="V48" i="1" a="1"/>
  <c r="V48" i="1" s="1"/>
  <c r="W48" i="1" a="1"/>
  <c r="W48" i="1" s="1"/>
  <c r="X48" i="1" a="1"/>
  <c r="X48" i="1" s="1"/>
  <c r="Y48" i="1" a="1"/>
  <c r="Y48" i="1" s="1"/>
  <c r="B49" i="1" a="1"/>
  <c r="B49" i="1" s="1"/>
  <c r="C49" i="1" a="1"/>
  <c r="C49" i="1" s="1"/>
  <c r="D49" i="1" a="1"/>
  <c r="D49" i="1" s="1"/>
  <c r="H49" i="1" a="1"/>
  <c r="H49" i="1" s="1"/>
  <c r="I49" i="1" a="1"/>
  <c r="I49" i="1" s="1"/>
  <c r="J49" i="1" a="1"/>
  <c r="J49" i="1" s="1"/>
  <c r="K49" i="1" a="1"/>
  <c r="K49" i="1" s="1"/>
  <c r="L49" i="1" a="1"/>
  <c r="L49" i="1" s="1"/>
  <c r="M49" i="1" a="1"/>
  <c r="M49" i="1" s="1"/>
  <c r="N49" i="1" a="1"/>
  <c r="N49" i="1" s="1"/>
  <c r="O49" i="1" a="1"/>
  <c r="O49" i="1" s="1"/>
  <c r="P49" i="1" a="1"/>
  <c r="P49" i="1" s="1"/>
  <c r="Q49" i="1" a="1"/>
  <c r="Q49" i="1" s="1"/>
  <c r="R49" i="1" a="1"/>
  <c r="R49" i="1" s="1"/>
  <c r="S49" i="1" a="1"/>
  <c r="S49" i="1" s="1"/>
  <c r="T49" i="1" a="1"/>
  <c r="T49" i="1" s="1"/>
  <c r="U49" i="1" a="1"/>
  <c r="U49" i="1" s="1"/>
  <c r="V49" i="1" a="1"/>
  <c r="V49" i="1" s="1"/>
  <c r="W49" i="1" a="1"/>
  <c r="W49" i="1" s="1"/>
  <c r="X49" i="1" a="1"/>
  <c r="X49" i="1" s="1"/>
  <c r="Y49" i="1" a="1"/>
  <c r="Y49" i="1" s="1"/>
  <c r="B50" i="1" a="1"/>
  <c r="B50" i="1" s="1"/>
  <c r="C50" i="1" a="1"/>
  <c r="C50" i="1" s="1"/>
  <c r="D50" i="1" a="1"/>
  <c r="D50" i="1" s="1"/>
  <c r="H50" i="1" a="1"/>
  <c r="H50" i="1" s="1"/>
  <c r="I50" i="1" a="1"/>
  <c r="I50" i="1" s="1"/>
  <c r="J50" i="1" a="1"/>
  <c r="J50" i="1" s="1"/>
  <c r="K50" i="1" a="1"/>
  <c r="K50" i="1" s="1"/>
  <c r="L50" i="1" a="1"/>
  <c r="L50" i="1" s="1"/>
  <c r="M50" i="1" a="1"/>
  <c r="M50" i="1" s="1"/>
  <c r="N50" i="1" a="1"/>
  <c r="N50" i="1" s="1"/>
  <c r="O50" i="1" a="1"/>
  <c r="O50" i="1" s="1"/>
  <c r="P50" i="1" a="1"/>
  <c r="P50" i="1" s="1"/>
  <c r="Q50" i="1" a="1"/>
  <c r="Q50" i="1" s="1"/>
  <c r="R50" i="1" a="1"/>
  <c r="R50" i="1" s="1"/>
  <c r="S50" i="1" a="1"/>
  <c r="S50" i="1" s="1"/>
  <c r="T50" i="1" a="1"/>
  <c r="T50" i="1" s="1"/>
  <c r="U50" i="1" a="1"/>
  <c r="U50" i="1" s="1"/>
  <c r="V50" i="1" a="1"/>
  <c r="V50" i="1" s="1"/>
  <c r="W50" i="1" a="1"/>
  <c r="W50" i="1" s="1"/>
  <c r="X50" i="1" a="1"/>
  <c r="X50" i="1" s="1"/>
  <c r="Y50" i="1" a="1"/>
  <c r="Y50" i="1" s="1"/>
  <c r="B51" i="1" a="1"/>
  <c r="B51" i="1" s="1"/>
  <c r="C51" i="1" a="1"/>
  <c r="C51" i="1" s="1"/>
  <c r="D51" i="1" a="1"/>
  <c r="D51" i="1" s="1"/>
  <c r="H51" i="1" a="1"/>
  <c r="H51" i="1" s="1"/>
  <c r="I51" i="1" a="1"/>
  <c r="I51" i="1" s="1"/>
  <c r="J51" i="1" a="1"/>
  <c r="J51" i="1" s="1"/>
  <c r="K51" i="1" a="1"/>
  <c r="K51" i="1" s="1"/>
  <c r="L51" i="1" a="1"/>
  <c r="L51" i="1" s="1"/>
  <c r="M51" i="1" a="1"/>
  <c r="M51" i="1" s="1"/>
  <c r="N51" i="1" a="1"/>
  <c r="N51" i="1" s="1"/>
  <c r="O51" i="1" a="1"/>
  <c r="O51" i="1" s="1"/>
  <c r="P51" i="1" a="1"/>
  <c r="P51" i="1" s="1"/>
  <c r="Q51" i="1" a="1"/>
  <c r="Q51" i="1" s="1"/>
  <c r="R51" i="1" a="1"/>
  <c r="R51" i="1" s="1"/>
  <c r="S51" i="1" a="1"/>
  <c r="S51" i="1" s="1"/>
  <c r="T51" i="1" a="1"/>
  <c r="T51" i="1" s="1"/>
  <c r="U51" i="1" a="1"/>
  <c r="U51" i="1" s="1"/>
  <c r="V51" i="1" a="1"/>
  <c r="V51" i="1" s="1"/>
  <c r="W51" i="1" a="1"/>
  <c r="W51" i="1" s="1"/>
  <c r="X51" i="1" a="1"/>
  <c r="X51" i="1" s="1"/>
  <c r="Y51" i="1" a="1"/>
  <c r="Y51" i="1" s="1"/>
  <c r="B52" i="1" a="1"/>
  <c r="B52" i="1" s="1"/>
  <c r="C52" i="1" a="1"/>
  <c r="C52" i="1" s="1"/>
  <c r="D52" i="1" a="1"/>
  <c r="D52" i="1" s="1"/>
  <c r="H52" i="1" a="1"/>
  <c r="H52" i="1" s="1"/>
  <c r="I52" i="1" a="1"/>
  <c r="I52" i="1" s="1"/>
  <c r="J52" i="1" a="1"/>
  <c r="J52" i="1" s="1"/>
  <c r="K52" i="1" a="1"/>
  <c r="K52" i="1" s="1"/>
  <c r="L52" i="1" a="1"/>
  <c r="L52" i="1" s="1"/>
  <c r="M52" i="1" a="1"/>
  <c r="M52" i="1" s="1"/>
  <c r="N52" i="1" a="1"/>
  <c r="N52" i="1" s="1"/>
  <c r="O52" i="1" a="1"/>
  <c r="O52" i="1" s="1"/>
  <c r="P52" i="1" a="1"/>
  <c r="P52" i="1" s="1"/>
  <c r="Q52" i="1" a="1"/>
  <c r="Q52" i="1" s="1"/>
  <c r="R52" i="1" a="1"/>
  <c r="R52" i="1" s="1"/>
  <c r="S52" i="1" a="1"/>
  <c r="S52" i="1" s="1"/>
  <c r="T52" i="1" a="1"/>
  <c r="T52" i="1" s="1"/>
  <c r="U52" i="1" a="1"/>
  <c r="U52" i="1" s="1"/>
  <c r="V52" i="1" a="1"/>
  <c r="V52" i="1" s="1"/>
  <c r="W52" i="1" a="1"/>
  <c r="W52" i="1" s="1"/>
  <c r="X52" i="1" a="1"/>
  <c r="X52" i="1" s="1"/>
  <c r="Y52" i="1" a="1"/>
  <c r="Y52" i="1" s="1"/>
  <c r="B53" i="1" a="1"/>
  <c r="B53" i="1" s="1"/>
  <c r="C53" i="1" a="1"/>
  <c r="C53" i="1" s="1"/>
  <c r="D53" i="1" a="1"/>
  <c r="D53" i="1" s="1"/>
  <c r="H53" i="1" a="1"/>
  <c r="H53" i="1" s="1"/>
  <c r="I53" i="1" a="1"/>
  <c r="I53" i="1" s="1"/>
  <c r="J53" i="1" a="1"/>
  <c r="J53" i="1" s="1"/>
  <c r="K53" i="1" a="1"/>
  <c r="K53" i="1" s="1"/>
  <c r="L53" i="1" a="1"/>
  <c r="L53" i="1" s="1"/>
  <c r="M53" i="1" a="1"/>
  <c r="M53" i="1" s="1"/>
  <c r="N53" i="1" a="1"/>
  <c r="N53" i="1" s="1"/>
  <c r="O53" i="1" a="1"/>
  <c r="O53" i="1" s="1"/>
  <c r="P53" i="1" a="1"/>
  <c r="P53" i="1" s="1"/>
  <c r="Q53" i="1" a="1"/>
  <c r="Q53" i="1" s="1"/>
  <c r="R53" i="1" a="1"/>
  <c r="R53" i="1" s="1"/>
  <c r="S53" i="1" a="1"/>
  <c r="S53" i="1" s="1"/>
  <c r="T53" i="1" a="1"/>
  <c r="T53" i="1" s="1"/>
  <c r="U53" i="1" a="1"/>
  <c r="U53" i="1" s="1"/>
  <c r="V53" i="1" a="1"/>
  <c r="V53" i="1" s="1"/>
  <c r="W53" i="1" a="1"/>
  <c r="W53" i="1" s="1"/>
  <c r="X53" i="1" a="1"/>
  <c r="X53" i="1" s="1"/>
  <c r="Y53" i="1" a="1"/>
  <c r="Y53" i="1" s="1"/>
  <c r="B54" i="1" a="1"/>
  <c r="B54" i="1" s="1"/>
  <c r="C54" i="1" a="1"/>
  <c r="C54" i="1" s="1"/>
  <c r="D54" i="1" a="1"/>
  <c r="D54" i="1" s="1"/>
  <c r="H54" i="1" a="1"/>
  <c r="H54" i="1" s="1"/>
  <c r="I54" i="1" a="1"/>
  <c r="I54" i="1" s="1"/>
  <c r="J54" i="1" a="1"/>
  <c r="J54" i="1" s="1"/>
  <c r="K54" i="1" a="1"/>
  <c r="K54" i="1" s="1"/>
  <c r="L54" i="1" a="1"/>
  <c r="L54" i="1" s="1"/>
  <c r="M54" i="1" a="1"/>
  <c r="M54" i="1" s="1"/>
  <c r="N54" i="1" a="1"/>
  <c r="N54" i="1" s="1"/>
  <c r="O54" i="1" a="1"/>
  <c r="O54" i="1" s="1"/>
  <c r="P54" i="1" a="1"/>
  <c r="P54" i="1" s="1"/>
  <c r="Q54" i="1" a="1"/>
  <c r="Q54" i="1" s="1"/>
  <c r="R54" i="1" a="1"/>
  <c r="R54" i="1" s="1"/>
  <c r="S54" i="1" a="1"/>
  <c r="S54" i="1" s="1"/>
  <c r="T54" i="1" a="1"/>
  <c r="T54" i="1" s="1"/>
  <c r="U54" i="1" a="1"/>
  <c r="U54" i="1" s="1"/>
  <c r="V54" i="1" a="1"/>
  <c r="V54" i="1" s="1"/>
  <c r="W54" i="1" a="1"/>
  <c r="W54" i="1" s="1"/>
  <c r="X54" i="1" a="1"/>
  <c r="X54" i="1" s="1"/>
  <c r="Y54" i="1" a="1"/>
  <c r="Y54" i="1" s="1"/>
  <c r="B55" i="1" a="1"/>
  <c r="B55" i="1" s="1"/>
  <c r="C55" i="1" a="1"/>
  <c r="C55" i="1" s="1"/>
  <c r="D55" i="1" a="1"/>
  <c r="D55" i="1" s="1"/>
  <c r="H55" i="1" a="1"/>
  <c r="H55" i="1" s="1"/>
  <c r="I55" i="1" a="1"/>
  <c r="I55" i="1" s="1"/>
  <c r="J55" i="1" a="1"/>
  <c r="J55" i="1" s="1"/>
  <c r="K55" i="1" a="1"/>
  <c r="K55" i="1" s="1"/>
  <c r="L55" i="1" a="1"/>
  <c r="L55" i="1" s="1"/>
  <c r="M55" i="1" a="1"/>
  <c r="M55" i="1" s="1"/>
  <c r="N55" i="1" a="1"/>
  <c r="N55" i="1" s="1"/>
  <c r="O55" i="1" a="1"/>
  <c r="O55" i="1" s="1"/>
  <c r="P55" i="1" a="1"/>
  <c r="P55" i="1" s="1"/>
  <c r="Q55" i="1" a="1"/>
  <c r="Q55" i="1" s="1"/>
  <c r="R55" i="1" a="1"/>
  <c r="R55" i="1" s="1"/>
  <c r="S55" i="1" a="1"/>
  <c r="S55" i="1" s="1"/>
  <c r="T55" i="1" a="1"/>
  <c r="T55" i="1" s="1"/>
  <c r="U55" i="1" a="1"/>
  <c r="U55" i="1" s="1"/>
  <c r="V55" i="1" a="1"/>
  <c r="V55" i="1" s="1"/>
  <c r="W55" i="1" a="1"/>
  <c r="W55" i="1" s="1"/>
  <c r="X55" i="1" a="1"/>
  <c r="X55" i="1" s="1"/>
  <c r="Y55" i="1" a="1"/>
  <c r="Y55" i="1" s="1"/>
  <c r="B56" i="1" a="1"/>
  <c r="B56" i="1" s="1"/>
  <c r="C56" i="1" a="1"/>
  <c r="C56" i="1" s="1"/>
  <c r="D56" i="1" a="1"/>
  <c r="D56" i="1" s="1"/>
  <c r="H56" i="1" a="1"/>
  <c r="H56" i="1" s="1"/>
  <c r="I56" i="1" a="1"/>
  <c r="I56" i="1" s="1"/>
  <c r="J56" i="1" a="1"/>
  <c r="J56" i="1" s="1"/>
  <c r="K56" i="1" a="1"/>
  <c r="K56" i="1" s="1"/>
  <c r="L56" i="1" a="1"/>
  <c r="L56" i="1" s="1"/>
  <c r="M56" i="1" a="1"/>
  <c r="M56" i="1" s="1"/>
  <c r="N56" i="1" a="1"/>
  <c r="N56" i="1" s="1"/>
  <c r="O56" i="1" a="1"/>
  <c r="O56" i="1" s="1"/>
  <c r="P56" i="1" a="1"/>
  <c r="P56" i="1" s="1"/>
  <c r="Q56" i="1" a="1"/>
  <c r="Q56" i="1" s="1"/>
  <c r="R56" i="1" a="1"/>
  <c r="R56" i="1" s="1"/>
  <c r="S56" i="1" a="1"/>
  <c r="S56" i="1" s="1"/>
  <c r="T56" i="1" a="1"/>
  <c r="T56" i="1" s="1"/>
  <c r="U56" i="1" a="1"/>
  <c r="U56" i="1" s="1"/>
  <c r="V56" i="1" a="1"/>
  <c r="V56" i="1" s="1"/>
  <c r="W56" i="1" a="1"/>
  <c r="W56" i="1" s="1"/>
  <c r="X56" i="1" a="1"/>
  <c r="X56" i="1" s="1"/>
  <c r="Y56" i="1" a="1"/>
  <c r="Y56" i="1" s="1"/>
  <c r="B57" i="1" a="1"/>
  <c r="B57" i="1" s="1"/>
  <c r="C57" i="1" a="1"/>
  <c r="C57" i="1" s="1"/>
  <c r="D57" i="1" a="1"/>
  <c r="D57" i="1" s="1"/>
  <c r="H57" i="1" a="1"/>
  <c r="H57" i="1" s="1"/>
  <c r="I57" i="1" a="1"/>
  <c r="I57" i="1" s="1"/>
  <c r="J57" i="1" a="1"/>
  <c r="J57" i="1" s="1"/>
  <c r="K57" i="1" a="1"/>
  <c r="K57" i="1" s="1"/>
  <c r="L57" i="1" a="1"/>
  <c r="L57" i="1" s="1"/>
  <c r="M57" i="1" a="1"/>
  <c r="M57" i="1" s="1"/>
  <c r="N57" i="1" a="1"/>
  <c r="N57" i="1" s="1"/>
  <c r="O57" i="1" a="1"/>
  <c r="O57" i="1" s="1"/>
  <c r="P57" i="1" a="1"/>
  <c r="P57" i="1" s="1"/>
  <c r="Q57" i="1" a="1"/>
  <c r="Q57" i="1" s="1"/>
  <c r="R57" i="1" a="1"/>
  <c r="R57" i="1" s="1"/>
  <c r="S57" i="1" a="1"/>
  <c r="S57" i="1" s="1"/>
  <c r="T57" i="1" a="1"/>
  <c r="T57" i="1" s="1"/>
  <c r="U57" i="1" a="1"/>
  <c r="U57" i="1" s="1"/>
  <c r="V57" i="1" a="1"/>
  <c r="V57" i="1" s="1"/>
  <c r="W57" i="1" a="1"/>
  <c r="W57" i="1" s="1"/>
  <c r="X57" i="1" a="1"/>
  <c r="X57" i="1" s="1"/>
  <c r="Y57" i="1" a="1"/>
  <c r="Y57" i="1" s="1"/>
  <c r="B58" i="1" a="1"/>
  <c r="B58" i="1" s="1"/>
  <c r="C58" i="1" a="1"/>
  <c r="C58" i="1" s="1"/>
  <c r="D58" i="1" a="1"/>
  <c r="D58" i="1" s="1"/>
  <c r="H58" i="1" a="1"/>
  <c r="H58" i="1" s="1"/>
  <c r="I58" i="1" a="1"/>
  <c r="I58" i="1" s="1"/>
  <c r="J58" i="1" a="1"/>
  <c r="J58" i="1" s="1"/>
  <c r="K58" i="1" a="1"/>
  <c r="K58" i="1" s="1"/>
  <c r="L58" i="1" a="1"/>
  <c r="L58" i="1" s="1"/>
  <c r="M58" i="1" a="1"/>
  <c r="M58" i="1" s="1"/>
  <c r="N58" i="1" a="1"/>
  <c r="N58" i="1" s="1"/>
  <c r="O58" i="1" a="1"/>
  <c r="O58" i="1" s="1"/>
  <c r="P58" i="1" a="1"/>
  <c r="P58" i="1" s="1"/>
  <c r="Q58" i="1" a="1"/>
  <c r="Q58" i="1" s="1"/>
  <c r="R58" i="1" a="1"/>
  <c r="R58" i="1" s="1"/>
  <c r="S58" i="1" a="1"/>
  <c r="S58" i="1" s="1"/>
  <c r="T58" i="1" a="1"/>
  <c r="T58" i="1" s="1"/>
  <c r="U58" i="1" a="1"/>
  <c r="U58" i="1" s="1"/>
  <c r="V58" i="1" a="1"/>
  <c r="V58" i="1" s="1"/>
  <c r="W58" i="1" a="1"/>
  <c r="W58" i="1" s="1"/>
  <c r="X58" i="1" a="1"/>
  <c r="X58" i="1" s="1"/>
  <c r="Y58" i="1" a="1"/>
  <c r="Y58" i="1" s="1"/>
  <c r="B59" i="1" a="1"/>
  <c r="B59" i="1" s="1"/>
  <c r="C59" i="1" a="1"/>
  <c r="C59" i="1" s="1"/>
  <c r="D59" i="1" a="1"/>
  <c r="D59" i="1" s="1"/>
  <c r="H59" i="1" a="1"/>
  <c r="H59" i="1" s="1"/>
  <c r="I59" i="1" a="1"/>
  <c r="I59" i="1" s="1"/>
  <c r="J59" i="1" a="1"/>
  <c r="J59" i="1" s="1"/>
  <c r="K59" i="1" a="1"/>
  <c r="K59" i="1" s="1"/>
  <c r="L59" i="1" a="1"/>
  <c r="L59" i="1" s="1"/>
  <c r="M59" i="1" a="1"/>
  <c r="M59" i="1" s="1"/>
  <c r="N59" i="1" a="1"/>
  <c r="N59" i="1" s="1"/>
  <c r="O59" i="1" a="1"/>
  <c r="O59" i="1" s="1"/>
  <c r="P59" i="1" a="1"/>
  <c r="P59" i="1" s="1"/>
  <c r="Q59" i="1" a="1"/>
  <c r="Q59" i="1" s="1"/>
  <c r="R59" i="1" a="1"/>
  <c r="R59" i="1" s="1"/>
  <c r="S59" i="1" a="1"/>
  <c r="S59" i="1" s="1"/>
  <c r="T59" i="1" a="1"/>
  <c r="T59" i="1" s="1"/>
  <c r="U59" i="1" a="1"/>
  <c r="U59" i="1" s="1"/>
  <c r="V59" i="1" a="1"/>
  <c r="V59" i="1" s="1"/>
  <c r="W59" i="1" a="1"/>
  <c r="W59" i="1" s="1"/>
  <c r="X59" i="1" a="1"/>
  <c r="X59" i="1" s="1"/>
  <c r="Y59" i="1" a="1"/>
  <c r="Y59" i="1" s="1"/>
  <c r="B60" i="1" a="1"/>
  <c r="B60" i="1" s="1"/>
  <c r="C60" i="1" a="1"/>
  <c r="C60" i="1" s="1"/>
  <c r="D60" i="1" a="1"/>
  <c r="D60" i="1" s="1"/>
  <c r="H60" i="1" a="1"/>
  <c r="H60" i="1" s="1"/>
  <c r="I60" i="1" a="1"/>
  <c r="I60" i="1" s="1"/>
  <c r="J60" i="1" a="1"/>
  <c r="J60" i="1" s="1"/>
  <c r="K60" i="1" a="1"/>
  <c r="K60" i="1" s="1"/>
  <c r="L60" i="1" a="1"/>
  <c r="L60" i="1" s="1"/>
  <c r="M60" i="1" a="1"/>
  <c r="M60" i="1" s="1"/>
  <c r="N60" i="1" a="1"/>
  <c r="N60" i="1" s="1"/>
  <c r="O60" i="1" a="1"/>
  <c r="O60" i="1" s="1"/>
  <c r="P60" i="1" a="1"/>
  <c r="P60" i="1" s="1"/>
  <c r="Q60" i="1" a="1"/>
  <c r="Q60" i="1" s="1"/>
  <c r="R60" i="1" a="1"/>
  <c r="R60" i="1" s="1"/>
  <c r="S60" i="1" a="1"/>
  <c r="S60" i="1" s="1"/>
  <c r="T60" i="1" a="1"/>
  <c r="T60" i="1" s="1"/>
  <c r="U60" i="1" a="1"/>
  <c r="U60" i="1" s="1"/>
  <c r="V60" i="1" a="1"/>
  <c r="V60" i="1" s="1"/>
  <c r="W60" i="1" a="1"/>
  <c r="W60" i="1" s="1"/>
  <c r="X60" i="1" a="1"/>
  <c r="X60" i="1" s="1"/>
  <c r="Y60" i="1" a="1"/>
  <c r="Y60" i="1" s="1"/>
  <c r="B61" i="1" a="1"/>
  <c r="B61" i="1" s="1"/>
  <c r="C61" i="1" a="1"/>
  <c r="C61" i="1" s="1"/>
  <c r="D61" i="1" a="1"/>
  <c r="D61" i="1" s="1"/>
  <c r="H61" i="1" a="1"/>
  <c r="H61" i="1" s="1"/>
  <c r="I61" i="1" a="1"/>
  <c r="I61" i="1" s="1"/>
  <c r="J61" i="1" a="1"/>
  <c r="J61" i="1" s="1"/>
  <c r="K61" i="1" a="1"/>
  <c r="K61" i="1" s="1"/>
  <c r="L61" i="1" a="1"/>
  <c r="L61" i="1" s="1"/>
  <c r="M61" i="1" a="1"/>
  <c r="M61" i="1" s="1"/>
  <c r="N61" i="1" a="1"/>
  <c r="N61" i="1" s="1"/>
  <c r="O61" i="1" a="1"/>
  <c r="O61" i="1" s="1"/>
  <c r="P61" i="1" a="1"/>
  <c r="P61" i="1" s="1"/>
  <c r="Q61" i="1" a="1"/>
  <c r="Q61" i="1" s="1"/>
  <c r="R61" i="1" a="1"/>
  <c r="R61" i="1" s="1"/>
  <c r="S61" i="1" a="1"/>
  <c r="S61" i="1" s="1"/>
  <c r="T61" i="1" a="1"/>
  <c r="T61" i="1" s="1"/>
  <c r="U61" i="1" a="1"/>
  <c r="U61" i="1" s="1"/>
  <c r="V61" i="1" a="1"/>
  <c r="V61" i="1" s="1"/>
  <c r="W61" i="1" a="1"/>
  <c r="W61" i="1" s="1"/>
  <c r="X61" i="1" a="1"/>
  <c r="X61" i="1" s="1"/>
  <c r="Y61" i="1" a="1"/>
  <c r="Y61" i="1" s="1"/>
  <c r="B62" i="1" a="1"/>
  <c r="B62" i="1" s="1"/>
  <c r="C62" i="1" a="1"/>
  <c r="C62" i="1" s="1"/>
  <c r="D62" i="1" a="1"/>
  <c r="D62" i="1" s="1"/>
  <c r="H62" i="1" a="1"/>
  <c r="H62" i="1" s="1"/>
  <c r="I62" i="1" a="1"/>
  <c r="I62" i="1" s="1"/>
  <c r="J62" i="1" a="1"/>
  <c r="J62" i="1" s="1"/>
  <c r="K62" i="1" a="1"/>
  <c r="K62" i="1" s="1"/>
  <c r="L62" i="1" a="1"/>
  <c r="L62" i="1" s="1"/>
  <c r="M62" i="1" a="1"/>
  <c r="M62" i="1" s="1"/>
  <c r="N62" i="1" a="1"/>
  <c r="N62" i="1" s="1"/>
  <c r="O62" i="1" a="1"/>
  <c r="O62" i="1" s="1"/>
  <c r="P62" i="1" a="1"/>
  <c r="P62" i="1" s="1"/>
  <c r="Q62" i="1" a="1"/>
  <c r="Q62" i="1" s="1"/>
  <c r="R62" i="1" a="1"/>
  <c r="R62" i="1" s="1"/>
  <c r="S62" i="1" a="1"/>
  <c r="S62" i="1" s="1"/>
  <c r="T62" i="1" a="1"/>
  <c r="T62" i="1" s="1"/>
  <c r="U62" i="1" a="1"/>
  <c r="U62" i="1" s="1"/>
  <c r="V62" i="1" a="1"/>
  <c r="V62" i="1" s="1"/>
  <c r="W62" i="1" a="1"/>
  <c r="W62" i="1" s="1"/>
  <c r="X62" i="1" a="1"/>
  <c r="X62" i="1" s="1"/>
  <c r="Y62" i="1" a="1"/>
  <c r="Y62" i="1" s="1"/>
  <c r="B63" i="1" a="1"/>
  <c r="B63" i="1" s="1"/>
  <c r="C63" i="1" a="1"/>
  <c r="C63" i="1" s="1"/>
  <c r="D63" i="1" a="1"/>
  <c r="D63" i="1" s="1"/>
  <c r="H63" i="1" a="1"/>
  <c r="H63" i="1" s="1"/>
  <c r="I63" i="1" a="1"/>
  <c r="I63" i="1" s="1"/>
  <c r="J63" i="1" a="1"/>
  <c r="J63" i="1" s="1"/>
  <c r="K63" i="1" a="1"/>
  <c r="K63" i="1" s="1"/>
  <c r="L63" i="1" a="1"/>
  <c r="L63" i="1" s="1"/>
  <c r="M63" i="1" a="1"/>
  <c r="M63" i="1" s="1"/>
  <c r="N63" i="1" a="1"/>
  <c r="N63" i="1" s="1"/>
  <c r="O63" i="1" a="1"/>
  <c r="O63" i="1" s="1"/>
  <c r="P63" i="1" a="1"/>
  <c r="P63" i="1" s="1"/>
  <c r="Q63" i="1" a="1"/>
  <c r="Q63" i="1" s="1"/>
  <c r="R63" i="1" a="1"/>
  <c r="R63" i="1" s="1"/>
  <c r="S63" i="1" a="1"/>
  <c r="S63" i="1" s="1"/>
  <c r="T63" i="1" a="1"/>
  <c r="T63" i="1" s="1"/>
  <c r="U63" i="1" a="1"/>
  <c r="U63" i="1" s="1"/>
  <c r="V63" i="1" a="1"/>
  <c r="V63" i="1" s="1"/>
  <c r="W63" i="1" a="1"/>
  <c r="W63" i="1" s="1"/>
  <c r="X63" i="1" a="1"/>
  <c r="X63" i="1" s="1"/>
  <c r="Y63" i="1" a="1"/>
  <c r="Y63" i="1" s="1"/>
  <c r="B64" i="1" a="1"/>
  <c r="B64" i="1" s="1"/>
  <c r="C64" i="1" a="1"/>
  <c r="C64" i="1" s="1"/>
  <c r="D64" i="1" a="1"/>
  <c r="D64" i="1" s="1"/>
  <c r="H64" i="1" a="1"/>
  <c r="H64" i="1" s="1"/>
  <c r="I64" i="1" a="1"/>
  <c r="I64" i="1" s="1"/>
  <c r="J64" i="1" a="1"/>
  <c r="J64" i="1" s="1"/>
  <c r="K64" i="1" a="1"/>
  <c r="K64" i="1" s="1"/>
  <c r="L64" i="1" a="1"/>
  <c r="L64" i="1" s="1"/>
  <c r="M64" i="1" a="1"/>
  <c r="M64" i="1" s="1"/>
  <c r="N64" i="1" a="1"/>
  <c r="N64" i="1" s="1"/>
  <c r="O64" i="1" a="1"/>
  <c r="O64" i="1" s="1"/>
  <c r="P64" i="1" a="1"/>
  <c r="P64" i="1" s="1"/>
  <c r="Q64" i="1" a="1"/>
  <c r="Q64" i="1" s="1"/>
  <c r="R64" i="1" a="1"/>
  <c r="R64" i="1" s="1"/>
  <c r="S64" i="1" a="1"/>
  <c r="S64" i="1" s="1"/>
  <c r="T64" i="1" a="1"/>
  <c r="T64" i="1" s="1"/>
  <c r="U64" i="1" a="1"/>
  <c r="U64" i="1" s="1"/>
  <c r="V64" i="1" a="1"/>
  <c r="V64" i="1" s="1"/>
  <c r="W64" i="1" a="1"/>
  <c r="W64" i="1" s="1"/>
  <c r="X64" i="1" a="1"/>
  <c r="X64" i="1" s="1"/>
  <c r="Y64" i="1" a="1"/>
  <c r="Y64" i="1" s="1"/>
  <c r="B65" i="1" a="1"/>
  <c r="B65" i="1" s="1"/>
  <c r="C65" i="1" a="1"/>
  <c r="C65" i="1" s="1"/>
  <c r="D65" i="1" a="1"/>
  <c r="D65" i="1" s="1"/>
  <c r="H65" i="1" a="1"/>
  <c r="H65" i="1" s="1"/>
  <c r="I65" i="1" a="1"/>
  <c r="I65" i="1" s="1"/>
  <c r="J65" i="1" a="1"/>
  <c r="J65" i="1" s="1"/>
  <c r="K65" i="1" a="1"/>
  <c r="K65" i="1" s="1"/>
  <c r="L65" i="1" a="1"/>
  <c r="L65" i="1" s="1"/>
  <c r="M65" i="1" a="1"/>
  <c r="M65" i="1" s="1"/>
  <c r="N65" i="1" a="1"/>
  <c r="N65" i="1" s="1"/>
  <c r="O65" i="1" a="1"/>
  <c r="O65" i="1" s="1"/>
  <c r="P65" i="1" a="1"/>
  <c r="P65" i="1" s="1"/>
  <c r="Q65" i="1" a="1"/>
  <c r="Q65" i="1" s="1"/>
  <c r="R65" i="1" a="1"/>
  <c r="R65" i="1" s="1"/>
  <c r="S65" i="1" a="1"/>
  <c r="S65" i="1" s="1"/>
  <c r="T65" i="1" a="1"/>
  <c r="T65" i="1" s="1"/>
  <c r="U65" i="1" a="1"/>
  <c r="U65" i="1" s="1"/>
  <c r="V65" i="1" a="1"/>
  <c r="V65" i="1" s="1"/>
  <c r="W65" i="1" a="1"/>
  <c r="W65" i="1" s="1"/>
  <c r="X65" i="1" a="1"/>
  <c r="X65" i="1" s="1"/>
  <c r="Y65" i="1" a="1"/>
  <c r="Y65" i="1" s="1"/>
  <c r="B66" i="1" a="1"/>
  <c r="B66" i="1" s="1"/>
  <c r="C66" i="1" a="1"/>
  <c r="C66" i="1" s="1"/>
  <c r="D66" i="1" a="1"/>
  <c r="D66" i="1" s="1"/>
  <c r="H66" i="1" a="1"/>
  <c r="H66" i="1" s="1"/>
  <c r="I66" i="1" a="1"/>
  <c r="I66" i="1" s="1"/>
  <c r="J66" i="1" a="1"/>
  <c r="J66" i="1" s="1"/>
  <c r="K66" i="1" a="1"/>
  <c r="K66" i="1" s="1"/>
  <c r="L66" i="1" a="1"/>
  <c r="L66" i="1" s="1"/>
  <c r="M66" i="1" a="1"/>
  <c r="M66" i="1" s="1"/>
  <c r="N66" i="1" a="1"/>
  <c r="N66" i="1" s="1"/>
  <c r="O66" i="1" a="1"/>
  <c r="O66" i="1" s="1"/>
  <c r="P66" i="1" a="1"/>
  <c r="P66" i="1" s="1"/>
  <c r="Q66" i="1" a="1"/>
  <c r="Q66" i="1" s="1"/>
  <c r="R66" i="1" a="1"/>
  <c r="R66" i="1" s="1"/>
  <c r="S66" i="1" a="1"/>
  <c r="S66" i="1" s="1"/>
  <c r="T66" i="1" a="1"/>
  <c r="T66" i="1" s="1"/>
  <c r="U66" i="1" a="1"/>
  <c r="U66" i="1" s="1"/>
  <c r="V66" i="1" a="1"/>
  <c r="V66" i="1" s="1"/>
  <c r="W66" i="1" a="1"/>
  <c r="W66" i="1" s="1"/>
  <c r="X66" i="1" a="1"/>
  <c r="X66" i="1" s="1"/>
  <c r="Y66" i="1" a="1"/>
  <c r="Y66" i="1" s="1"/>
  <c r="B67" i="1" a="1"/>
  <c r="B67" i="1" s="1"/>
  <c r="C67" i="1" a="1"/>
  <c r="C67" i="1" s="1"/>
  <c r="D67" i="1" a="1"/>
  <c r="D67" i="1" s="1"/>
  <c r="H67" i="1" a="1"/>
  <c r="H67" i="1" s="1"/>
  <c r="I67" i="1" a="1"/>
  <c r="I67" i="1" s="1"/>
  <c r="J67" i="1" a="1"/>
  <c r="J67" i="1" s="1"/>
  <c r="K67" i="1" a="1"/>
  <c r="K67" i="1" s="1"/>
  <c r="L67" i="1" a="1"/>
  <c r="L67" i="1" s="1"/>
  <c r="M67" i="1" a="1"/>
  <c r="M67" i="1" s="1"/>
  <c r="N67" i="1" a="1"/>
  <c r="N67" i="1" s="1"/>
  <c r="O67" i="1" a="1"/>
  <c r="O67" i="1" s="1"/>
  <c r="P67" i="1" a="1"/>
  <c r="P67" i="1" s="1"/>
  <c r="Q67" i="1" a="1"/>
  <c r="Q67" i="1" s="1"/>
  <c r="R67" i="1" a="1"/>
  <c r="R67" i="1" s="1"/>
  <c r="S67" i="1" a="1"/>
  <c r="S67" i="1" s="1"/>
  <c r="T67" i="1" a="1"/>
  <c r="T67" i="1" s="1"/>
  <c r="U67" i="1" a="1"/>
  <c r="U67" i="1" s="1"/>
  <c r="V67" i="1" a="1"/>
  <c r="V67" i="1" s="1"/>
  <c r="W67" i="1" a="1"/>
  <c r="W67" i="1" s="1"/>
  <c r="X67" i="1" a="1"/>
  <c r="X67" i="1" s="1"/>
  <c r="Y67" i="1" a="1"/>
  <c r="Y67" i="1" s="1"/>
  <c r="B68" i="1" a="1"/>
  <c r="B68" i="1" s="1"/>
  <c r="C68" i="1" a="1"/>
  <c r="C68" i="1" s="1"/>
  <c r="D68" i="1" a="1"/>
  <c r="D68" i="1" s="1"/>
  <c r="H68" i="1" a="1"/>
  <c r="H68" i="1" s="1"/>
  <c r="I68" i="1" a="1"/>
  <c r="I68" i="1" s="1"/>
  <c r="J68" i="1" a="1"/>
  <c r="J68" i="1" s="1"/>
  <c r="K68" i="1" a="1"/>
  <c r="K68" i="1" s="1"/>
  <c r="L68" i="1" a="1"/>
  <c r="L68" i="1" s="1"/>
  <c r="M68" i="1" a="1"/>
  <c r="M68" i="1" s="1"/>
  <c r="N68" i="1" a="1"/>
  <c r="N68" i="1" s="1"/>
  <c r="O68" i="1" a="1"/>
  <c r="O68" i="1" s="1"/>
  <c r="P68" i="1" a="1"/>
  <c r="P68" i="1" s="1"/>
  <c r="Q68" i="1" a="1"/>
  <c r="Q68" i="1" s="1"/>
  <c r="R68" i="1" a="1"/>
  <c r="R68" i="1" s="1"/>
  <c r="S68" i="1" a="1"/>
  <c r="S68" i="1" s="1"/>
  <c r="T68" i="1" a="1"/>
  <c r="T68" i="1" s="1"/>
  <c r="U68" i="1" a="1"/>
  <c r="U68" i="1" s="1"/>
  <c r="V68" i="1" a="1"/>
  <c r="V68" i="1" s="1"/>
  <c r="W68" i="1" a="1"/>
  <c r="W68" i="1" s="1"/>
  <c r="X68" i="1" a="1"/>
  <c r="X68" i="1" s="1"/>
  <c r="Y68" i="1" a="1"/>
  <c r="Y68" i="1" s="1"/>
  <c r="B69" i="1" a="1"/>
  <c r="B69" i="1" s="1"/>
  <c r="C69" i="1" a="1"/>
  <c r="C69" i="1" s="1"/>
  <c r="D69" i="1" a="1"/>
  <c r="D69" i="1" s="1"/>
  <c r="H69" i="1" a="1"/>
  <c r="H69" i="1" s="1"/>
  <c r="I69" i="1" a="1"/>
  <c r="I69" i="1" s="1"/>
  <c r="J69" i="1" a="1"/>
  <c r="J69" i="1" s="1"/>
  <c r="K69" i="1" a="1"/>
  <c r="K69" i="1" s="1"/>
  <c r="L69" i="1" a="1"/>
  <c r="L69" i="1" s="1"/>
  <c r="M69" i="1" a="1"/>
  <c r="M69" i="1" s="1"/>
  <c r="N69" i="1" a="1"/>
  <c r="N69" i="1" s="1"/>
  <c r="O69" i="1" a="1"/>
  <c r="O69" i="1" s="1"/>
  <c r="P69" i="1" a="1"/>
  <c r="P69" i="1" s="1"/>
  <c r="Q69" i="1" a="1"/>
  <c r="Q69" i="1" s="1"/>
  <c r="R69" i="1" a="1"/>
  <c r="R69" i="1" s="1"/>
  <c r="S69" i="1" a="1"/>
  <c r="S69" i="1" s="1"/>
  <c r="T69" i="1" a="1"/>
  <c r="T69" i="1" s="1"/>
  <c r="U69" i="1" a="1"/>
  <c r="U69" i="1" s="1"/>
  <c r="V69" i="1" a="1"/>
  <c r="V69" i="1" s="1"/>
  <c r="W69" i="1" a="1"/>
  <c r="W69" i="1" s="1"/>
  <c r="X69" i="1" a="1"/>
  <c r="X69" i="1" s="1"/>
  <c r="Y69" i="1" a="1"/>
  <c r="Y69" i="1" s="1"/>
  <c r="B70" i="1" a="1"/>
  <c r="B70" i="1" s="1"/>
  <c r="C70" i="1" a="1"/>
  <c r="C70" i="1" s="1"/>
  <c r="D70" i="1" a="1"/>
  <c r="D70" i="1" s="1"/>
  <c r="H70" i="1" a="1"/>
  <c r="H70" i="1" s="1"/>
  <c r="I70" i="1" a="1"/>
  <c r="I70" i="1" s="1"/>
  <c r="J70" i="1" a="1"/>
  <c r="J70" i="1" s="1"/>
  <c r="K70" i="1" a="1"/>
  <c r="K70" i="1" s="1"/>
  <c r="L70" i="1" a="1"/>
  <c r="L70" i="1" s="1"/>
  <c r="M70" i="1" a="1"/>
  <c r="M70" i="1" s="1"/>
  <c r="N70" i="1" a="1"/>
  <c r="N70" i="1" s="1"/>
  <c r="O70" i="1" a="1"/>
  <c r="O70" i="1" s="1"/>
  <c r="P70" i="1" a="1"/>
  <c r="P70" i="1" s="1"/>
  <c r="Q70" i="1" a="1"/>
  <c r="Q70" i="1" s="1"/>
  <c r="R70" i="1" a="1"/>
  <c r="R70" i="1" s="1"/>
  <c r="S70" i="1" a="1"/>
  <c r="S70" i="1" s="1"/>
  <c r="T70" i="1" a="1"/>
  <c r="T70" i="1" s="1"/>
  <c r="U70" i="1" a="1"/>
  <c r="U70" i="1" s="1"/>
  <c r="V70" i="1" a="1"/>
  <c r="V70" i="1" s="1"/>
  <c r="W70" i="1" a="1"/>
  <c r="W70" i="1" s="1"/>
  <c r="X70" i="1" a="1"/>
  <c r="X70" i="1" s="1"/>
  <c r="Y70" i="1" a="1"/>
  <c r="Y70" i="1" s="1"/>
  <c r="B71" i="1" a="1"/>
  <c r="B71" i="1" s="1"/>
  <c r="C71" i="1" a="1"/>
  <c r="C71" i="1" s="1"/>
  <c r="D71" i="1" a="1"/>
  <c r="D71" i="1" s="1"/>
  <c r="H71" i="1" a="1"/>
  <c r="H71" i="1" s="1"/>
  <c r="I71" i="1" a="1"/>
  <c r="I71" i="1" s="1"/>
  <c r="J71" i="1" a="1"/>
  <c r="J71" i="1" s="1"/>
  <c r="K71" i="1" a="1"/>
  <c r="K71" i="1" s="1"/>
  <c r="L71" i="1" a="1"/>
  <c r="L71" i="1" s="1"/>
  <c r="M71" i="1" a="1"/>
  <c r="M71" i="1" s="1"/>
  <c r="N71" i="1" a="1"/>
  <c r="N71" i="1" s="1"/>
  <c r="O71" i="1" a="1"/>
  <c r="O71" i="1" s="1"/>
  <c r="P71" i="1" a="1"/>
  <c r="P71" i="1" s="1"/>
  <c r="Q71" i="1" a="1"/>
  <c r="Q71" i="1" s="1"/>
  <c r="R71" i="1" a="1"/>
  <c r="R71" i="1" s="1"/>
  <c r="S71" i="1" a="1"/>
  <c r="S71" i="1" s="1"/>
  <c r="T71" i="1" a="1"/>
  <c r="T71" i="1" s="1"/>
  <c r="U71" i="1" a="1"/>
  <c r="U71" i="1" s="1"/>
  <c r="V71" i="1" a="1"/>
  <c r="V71" i="1" s="1"/>
  <c r="W71" i="1" a="1"/>
  <c r="W71" i="1" s="1"/>
  <c r="X71" i="1" a="1"/>
  <c r="X71" i="1" s="1"/>
  <c r="Y71" i="1" a="1"/>
  <c r="Y71" i="1" s="1"/>
  <c r="B72" i="1" a="1"/>
  <c r="B72" i="1" s="1"/>
  <c r="C72" i="1" a="1"/>
  <c r="C72" i="1" s="1"/>
  <c r="D72" i="1" a="1"/>
  <c r="D72" i="1" s="1"/>
  <c r="H72" i="1" a="1"/>
  <c r="H72" i="1" s="1"/>
  <c r="I72" i="1" a="1"/>
  <c r="I72" i="1" s="1"/>
  <c r="J72" i="1" a="1"/>
  <c r="J72" i="1" s="1"/>
  <c r="K72" i="1" a="1"/>
  <c r="K72" i="1" s="1"/>
  <c r="L72" i="1" a="1"/>
  <c r="L72" i="1" s="1"/>
  <c r="M72" i="1" a="1"/>
  <c r="M72" i="1" s="1"/>
  <c r="N72" i="1" a="1"/>
  <c r="N72" i="1" s="1"/>
  <c r="O72" i="1" a="1"/>
  <c r="O72" i="1" s="1"/>
  <c r="P72" i="1" a="1"/>
  <c r="P72" i="1" s="1"/>
  <c r="Q72" i="1" a="1"/>
  <c r="Q72" i="1" s="1"/>
  <c r="R72" i="1" a="1"/>
  <c r="R72" i="1" s="1"/>
  <c r="S72" i="1" a="1"/>
  <c r="S72" i="1" s="1"/>
  <c r="T72" i="1" a="1"/>
  <c r="T72" i="1" s="1"/>
  <c r="U72" i="1" a="1"/>
  <c r="U72" i="1" s="1"/>
  <c r="V72" i="1" a="1"/>
  <c r="V72" i="1" s="1"/>
  <c r="W72" i="1" a="1"/>
  <c r="W72" i="1" s="1"/>
  <c r="X72" i="1" a="1"/>
  <c r="X72" i="1" s="1"/>
  <c r="Y72" i="1" a="1"/>
  <c r="Y72" i="1" s="1"/>
  <c r="B73" i="1" a="1"/>
  <c r="B73" i="1" s="1"/>
  <c r="C73" i="1" a="1"/>
  <c r="C73" i="1" s="1"/>
  <c r="D73" i="1" a="1"/>
  <c r="D73" i="1" s="1"/>
  <c r="H73" i="1" a="1"/>
  <c r="H73" i="1" s="1"/>
  <c r="I73" i="1" a="1"/>
  <c r="I73" i="1" s="1"/>
  <c r="J73" i="1" a="1"/>
  <c r="J73" i="1" s="1"/>
  <c r="K73" i="1" a="1"/>
  <c r="K73" i="1" s="1"/>
  <c r="L73" i="1" a="1"/>
  <c r="L73" i="1" s="1"/>
  <c r="M73" i="1" a="1"/>
  <c r="M73" i="1" s="1"/>
  <c r="N73" i="1" a="1"/>
  <c r="N73" i="1" s="1"/>
  <c r="O73" i="1" a="1"/>
  <c r="O73" i="1" s="1"/>
  <c r="P73" i="1" a="1"/>
  <c r="P73" i="1" s="1"/>
  <c r="Q73" i="1" a="1"/>
  <c r="Q73" i="1" s="1"/>
  <c r="R73" i="1" a="1"/>
  <c r="R73" i="1" s="1"/>
  <c r="S73" i="1" a="1"/>
  <c r="S73" i="1" s="1"/>
  <c r="T73" i="1" a="1"/>
  <c r="T73" i="1" s="1"/>
  <c r="U73" i="1" a="1"/>
  <c r="U73" i="1" s="1"/>
  <c r="V73" i="1" a="1"/>
  <c r="V73" i="1" s="1"/>
  <c r="W73" i="1" a="1"/>
  <c r="W73" i="1" s="1"/>
  <c r="X73" i="1" a="1"/>
  <c r="X73" i="1" s="1"/>
  <c r="Y73" i="1" a="1"/>
  <c r="Y73" i="1" s="1"/>
  <c r="B74" i="1" a="1"/>
  <c r="B74" i="1" s="1"/>
  <c r="C74" i="1" a="1"/>
  <c r="C74" i="1" s="1"/>
  <c r="D74" i="1" a="1"/>
  <c r="D74" i="1" s="1"/>
  <c r="H74" i="1" a="1"/>
  <c r="H74" i="1" s="1"/>
  <c r="I74" i="1" a="1"/>
  <c r="I74" i="1" s="1"/>
  <c r="J74" i="1" a="1"/>
  <c r="J74" i="1" s="1"/>
  <c r="K74" i="1" a="1"/>
  <c r="K74" i="1" s="1"/>
  <c r="L74" i="1" a="1"/>
  <c r="L74" i="1" s="1"/>
  <c r="M74" i="1" a="1"/>
  <c r="M74" i="1" s="1"/>
  <c r="N74" i="1" a="1"/>
  <c r="N74" i="1" s="1"/>
  <c r="O74" i="1" a="1"/>
  <c r="O74" i="1" s="1"/>
  <c r="P74" i="1" a="1"/>
  <c r="P74" i="1" s="1"/>
  <c r="Q74" i="1" a="1"/>
  <c r="Q74" i="1" s="1"/>
  <c r="R74" i="1" a="1"/>
  <c r="R74" i="1" s="1"/>
  <c r="S74" i="1" a="1"/>
  <c r="S74" i="1" s="1"/>
  <c r="T74" i="1" a="1"/>
  <c r="T74" i="1" s="1"/>
  <c r="U74" i="1" a="1"/>
  <c r="U74" i="1" s="1"/>
  <c r="V74" i="1" a="1"/>
  <c r="V74" i="1" s="1"/>
  <c r="W74" i="1" a="1"/>
  <c r="W74" i="1" s="1"/>
  <c r="X74" i="1" a="1"/>
  <c r="X74" i="1" s="1"/>
  <c r="Y74" i="1" a="1"/>
  <c r="Y74" i="1" s="1"/>
  <c r="B75" i="1" a="1"/>
  <c r="B75" i="1" s="1"/>
  <c r="C75" i="1" a="1"/>
  <c r="C75" i="1" s="1"/>
  <c r="D75" i="1" a="1"/>
  <c r="D75" i="1" s="1"/>
  <c r="H75" i="1" a="1"/>
  <c r="H75" i="1" s="1"/>
  <c r="I75" i="1" a="1"/>
  <c r="I75" i="1" s="1"/>
  <c r="J75" i="1" a="1"/>
  <c r="J75" i="1" s="1"/>
  <c r="K75" i="1" a="1"/>
  <c r="K75" i="1" s="1"/>
  <c r="L75" i="1" a="1"/>
  <c r="L75" i="1" s="1"/>
  <c r="M75" i="1" a="1"/>
  <c r="M75" i="1" s="1"/>
  <c r="N75" i="1" a="1"/>
  <c r="N75" i="1" s="1"/>
  <c r="O75" i="1" a="1"/>
  <c r="O75" i="1" s="1"/>
  <c r="P75" i="1" a="1"/>
  <c r="P75" i="1" s="1"/>
  <c r="Q75" i="1" a="1"/>
  <c r="Q75" i="1" s="1"/>
  <c r="R75" i="1" a="1"/>
  <c r="R75" i="1" s="1"/>
  <c r="S75" i="1" a="1"/>
  <c r="S75" i="1" s="1"/>
  <c r="T75" i="1" a="1"/>
  <c r="T75" i="1" s="1"/>
  <c r="U75" i="1" a="1"/>
  <c r="U75" i="1" s="1"/>
  <c r="V75" i="1" a="1"/>
  <c r="V75" i="1" s="1"/>
  <c r="W75" i="1" a="1"/>
  <c r="W75" i="1" s="1"/>
  <c r="X75" i="1" a="1"/>
  <c r="X75" i="1" s="1"/>
  <c r="Y75" i="1" a="1"/>
  <c r="Y75" i="1" s="1"/>
  <c r="B76" i="1" a="1"/>
  <c r="B76" i="1" s="1"/>
  <c r="C76" i="1" a="1"/>
  <c r="C76" i="1" s="1"/>
  <c r="D76" i="1" a="1"/>
  <c r="D76" i="1" s="1"/>
  <c r="H76" i="1" a="1"/>
  <c r="H76" i="1" s="1"/>
  <c r="I76" i="1" a="1"/>
  <c r="I76" i="1" s="1"/>
  <c r="J76" i="1" a="1"/>
  <c r="J76" i="1" s="1"/>
  <c r="K76" i="1" a="1"/>
  <c r="K76" i="1" s="1"/>
  <c r="L76" i="1" a="1"/>
  <c r="L76" i="1" s="1"/>
  <c r="M76" i="1" a="1"/>
  <c r="M76" i="1" s="1"/>
  <c r="N76" i="1" a="1"/>
  <c r="N76" i="1" s="1"/>
  <c r="O76" i="1" a="1"/>
  <c r="O76" i="1" s="1"/>
  <c r="P76" i="1" a="1"/>
  <c r="P76" i="1" s="1"/>
  <c r="Q76" i="1" a="1"/>
  <c r="Q76" i="1" s="1"/>
  <c r="R76" i="1" a="1"/>
  <c r="R76" i="1" s="1"/>
  <c r="S76" i="1" a="1"/>
  <c r="S76" i="1" s="1"/>
  <c r="T76" i="1" a="1"/>
  <c r="T76" i="1" s="1"/>
  <c r="U76" i="1" a="1"/>
  <c r="U76" i="1" s="1"/>
  <c r="V76" i="1" a="1"/>
  <c r="V76" i="1" s="1"/>
  <c r="W76" i="1" a="1"/>
  <c r="W76" i="1" s="1"/>
  <c r="X76" i="1" a="1"/>
  <c r="X76" i="1" s="1"/>
  <c r="Y76" i="1" a="1"/>
  <c r="Y76" i="1" s="1"/>
  <c r="B77" i="1" a="1"/>
  <c r="B77" i="1" s="1"/>
  <c r="C77" i="1" a="1"/>
  <c r="C77" i="1" s="1"/>
  <c r="D77" i="1" a="1"/>
  <c r="D77" i="1" s="1"/>
  <c r="H77" i="1" a="1"/>
  <c r="H77" i="1" s="1"/>
  <c r="I77" i="1" a="1"/>
  <c r="I77" i="1" s="1"/>
  <c r="J77" i="1" a="1"/>
  <c r="J77" i="1" s="1"/>
  <c r="K77" i="1" a="1"/>
  <c r="K77" i="1" s="1"/>
  <c r="L77" i="1" a="1"/>
  <c r="L77" i="1" s="1"/>
  <c r="M77" i="1" a="1"/>
  <c r="M77" i="1" s="1"/>
  <c r="N77" i="1" a="1"/>
  <c r="N77" i="1" s="1"/>
  <c r="O77" i="1" a="1"/>
  <c r="O77" i="1" s="1"/>
  <c r="P77" i="1" a="1"/>
  <c r="P77" i="1" s="1"/>
  <c r="Q77" i="1" a="1"/>
  <c r="Q77" i="1" s="1"/>
  <c r="R77" i="1" a="1"/>
  <c r="R77" i="1" s="1"/>
  <c r="S77" i="1" a="1"/>
  <c r="S77" i="1" s="1"/>
  <c r="T77" i="1" a="1"/>
  <c r="T77" i="1" s="1"/>
  <c r="U77" i="1" a="1"/>
  <c r="U77" i="1" s="1"/>
  <c r="V77" i="1" a="1"/>
  <c r="V77" i="1" s="1"/>
  <c r="W77" i="1" a="1"/>
  <c r="W77" i="1" s="1"/>
  <c r="X77" i="1" a="1"/>
  <c r="X77" i="1" s="1"/>
  <c r="Y77" i="1" a="1"/>
  <c r="Y77" i="1" s="1"/>
  <c r="B78" i="1" a="1"/>
  <c r="B78" i="1" s="1"/>
  <c r="C78" i="1" a="1"/>
  <c r="C78" i="1" s="1"/>
  <c r="D78" i="1" a="1"/>
  <c r="D78" i="1" s="1"/>
  <c r="H78" i="1" a="1"/>
  <c r="H78" i="1" s="1"/>
  <c r="I78" i="1" a="1"/>
  <c r="I78" i="1" s="1"/>
  <c r="J78" i="1" a="1"/>
  <c r="J78" i="1" s="1"/>
  <c r="K78" i="1" a="1"/>
  <c r="K78" i="1" s="1"/>
  <c r="L78" i="1" a="1"/>
  <c r="L78" i="1" s="1"/>
  <c r="M78" i="1" a="1"/>
  <c r="M78" i="1" s="1"/>
  <c r="N78" i="1" a="1"/>
  <c r="N78" i="1" s="1"/>
  <c r="O78" i="1" a="1"/>
  <c r="O78" i="1" s="1"/>
  <c r="P78" i="1" a="1"/>
  <c r="P78" i="1" s="1"/>
  <c r="Q78" i="1" a="1"/>
  <c r="Q78" i="1" s="1"/>
  <c r="R78" i="1" a="1"/>
  <c r="R78" i="1" s="1"/>
  <c r="S78" i="1" a="1"/>
  <c r="S78" i="1" s="1"/>
  <c r="T78" i="1" a="1"/>
  <c r="T78" i="1" s="1"/>
  <c r="U78" i="1" a="1"/>
  <c r="U78" i="1" s="1"/>
  <c r="V78" i="1" a="1"/>
  <c r="V78" i="1" s="1"/>
  <c r="W78" i="1" a="1"/>
  <c r="W78" i="1" s="1"/>
  <c r="X78" i="1" a="1"/>
  <c r="X78" i="1" s="1"/>
  <c r="Y78" i="1" a="1"/>
  <c r="Y78" i="1" s="1"/>
  <c r="B79" i="1" a="1"/>
  <c r="B79" i="1" s="1"/>
  <c r="C79" i="1" a="1"/>
  <c r="C79" i="1" s="1"/>
  <c r="D79" i="1" a="1"/>
  <c r="D79" i="1" s="1"/>
  <c r="H79" i="1" a="1"/>
  <c r="H79" i="1" s="1"/>
  <c r="I79" i="1" a="1"/>
  <c r="I79" i="1" s="1"/>
  <c r="J79" i="1" a="1"/>
  <c r="J79" i="1" s="1"/>
  <c r="K79" i="1" a="1"/>
  <c r="K79" i="1" s="1"/>
  <c r="L79" i="1" a="1"/>
  <c r="L79" i="1" s="1"/>
  <c r="M79" i="1" a="1"/>
  <c r="M79" i="1" s="1"/>
  <c r="N79" i="1" a="1"/>
  <c r="N79" i="1" s="1"/>
  <c r="O79" i="1" a="1"/>
  <c r="O79" i="1" s="1"/>
  <c r="P79" i="1" a="1"/>
  <c r="P79" i="1" s="1"/>
  <c r="Q79" i="1" a="1"/>
  <c r="Q79" i="1" s="1"/>
  <c r="R79" i="1" a="1"/>
  <c r="R79" i="1" s="1"/>
  <c r="S79" i="1" a="1"/>
  <c r="S79" i="1" s="1"/>
  <c r="T79" i="1" a="1"/>
  <c r="T79" i="1" s="1"/>
  <c r="U79" i="1" a="1"/>
  <c r="U79" i="1" s="1"/>
  <c r="V79" i="1" a="1"/>
  <c r="V79" i="1" s="1"/>
  <c r="W79" i="1" a="1"/>
  <c r="W79" i="1" s="1"/>
  <c r="X79" i="1" a="1"/>
  <c r="X79" i="1" s="1"/>
  <c r="Y79" i="1" a="1"/>
  <c r="Y79" i="1" s="1"/>
  <c r="B80" i="1" a="1"/>
  <c r="B80" i="1" s="1"/>
  <c r="C80" i="1" a="1"/>
  <c r="C80" i="1" s="1"/>
  <c r="D80" i="1" a="1"/>
  <c r="D80" i="1" s="1"/>
  <c r="H80" i="1" a="1"/>
  <c r="H80" i="1" s="1"/>
  <c r="I80" i="1" a="1"/>
  <c r="I80" i="1" s="1"/>
  <c r="J80" i="1" a="1"/>
  <c r="J80" i="1" s="1"/>
  <c r="K80" i="1" a="1"/>
  <c r="K80" i="1" s="1"/>
  <c r="L80" i="1" a="1"/>
  <c r="L80" i="1" s="1"/>
  <c r="M80" i="1" a="1"/>
  <c r="M80" i="1" s="1"/>
  <c r="N80" i="1" a="1"/>
  <c r="N80" i="1" s="1"/>
  <c r="O80" i="1" a="1"/>
  <c r="O80" i="1" s="1"/>
  <c r="P80" i="1" a="1"/>
  <c r="P80" i="1" s="1"/>
  <c r="Q80" i="1" a="1"/>
  <c r="Q80" i="1" s="1"/>
  <c r="R80" i="1" a="1"/>
  <c r="R80" i="1" s="1"/>
  <c r="S80" i="1" a="1"/>
  <c r="S80" i="1" s="1"/>
  <c r="T80" i="1" a="1"/>
  <c r="T80" i="1" s="1"/>
  <c r="U80" i="1" a="1"/>
  <c r="U80" i="1" s="1"/>
  <c r="V80" i="1" a="1"/>
  <c r="V80" i="1" s="1"/>
  <c r="W80" i="1" a="1"/>
  <c r="W80" i="1" s="1"/>
  <c r="X80" i="1" a="1"/>
  <c r="X80" i="1" s="1"/>
  <c r="Y80" i="1" a="1"/>
  <c r="Y80" i="1" s="1"/>
  <c r="B81" i="1" a="1"/>
  <c r="B81" i="1" s="1"/>
  <c r="C81" i="1" a="1"/>
  <c r="C81" i="1" s="1"/>
  <c r="D81" i="1" a="1"/>
  <c r="D81" i="1" s="1"/>
  <c r="H81" i="1" a="1"/>
  <c r="H81" i="1" s="1"/>
  <c r="I81" i="1" a="1"/>
  <c r="I81" i="1" s="1"/>
  <c r="J81" i="1" a="1"/>
  <c r="J81" i="1" s="1"/>
  <c r="K81" i="1" a="1"/>
  <c r="K81" i="1" s="1"/>
  <c r="L81" i="1" a="1"/>
  <c r="L81" i="1" s="1"/>
  <c r="M81" i="1" a="1"/>
  <c r="M81" i="1" s="1"/>
  <c r="N81" i="1" a="1"/>
  <c r="N81" i="1" s="1"/>
  <c r="O81" i="1" a="1"/>
  <c r="O81" i="1" s="1"/>
  <c r="P81" i="1" a="1"/>
  <c r="P81" i="1" s="1"/>
  <c r="Q81" i="1" a="1"/>
  <c r="Q81" i="1" s="1"/>
  <c r="R81" i="1" a="1"/>
  <c r="R81" i="1" s="1"/>
  <c r="S81" i="1" a="1"/>
  <c r="S81" i="1" s="1"/>
  <c r="T81" i="1" a="1"/>
  <c r="T81" i="1" s="1"/>
  <c r="U81" i="1" a="1"/>
  <c r="U81" i="1" s="1"/>
  <c r="V81" i="1" a="1"/>
  <c r="V81" i="1" s="1"/>
  <c r="W81" i="1" a="1"/>
  <c r="W81" i="1" s="1"/>
  <c r="X81" i="1" a="1"/>
  <c r="X81" i="1" s="1"/>
  <c r="Y81" i="1" a="1"/>
  <c r="Y81" i="1" s="1"/>
  <c r="B82" i="1" a="1"/>
  <c r="B82" i="1" s="1"/>
  <c r="C82" i="1" a="1"/>
  <c r="C82" i="1" s="1"/>
  <c r="D82" i="1" a="1"/>
  <c r="D82" i="1" s="1"/>
  <c r="H82" i="1" a="1"/>
  <c r="H82" i="1" s="1"/>
  <c r="I82" i="1" a="1"/>
  <c r="I82" i="1" s="1"/>
  <c r="J82" i="1" a="1"/>
  <c r="J82" i="1" s="1"/>
  <c r="K82" i="1" a="1"/>
  <c r="K82" i="1" s="1"/>
  <c r="L82" i="1" a="1"/>
  <c r="L82" i="1" s="1"/>
  <c r="M82" i="1" a="1"/>
  <c r="M82" i="1" s="1"/>
  <c r="N82" i="1" a="1"/>
  <c r="N82" i="1" s="1"/>
  <c r="O82" i="1" a="1"/>
  <c r="O82" i="1" s="1"/>
  <c r="P82" i="1" a="1"/>
  <c r="P82" i="1" s="1"/>
  <c r="Q82" i="1" a="1"/>
  <c r="Q82" i="1" s="1"/>
  <c r="R82" i="1" a="1"/>
  <c r="R82" i="1" s="1"/>
  <c r="S82" i="1" a="1"/>
  <c r="S82" i="1" s="1"/>
  <c r="T82" i="1" a="1"/>
  <c r="T82" i="1" s="1"/>
  <c r="U82" i="1" a="1"/>
  <c r="U82" i="1" s="1"/>
  <c r="V82" i="1" a="1"/>
  <c r="V82" i="1" s="1"/>
  <c r="W82" i="1" a="1"/>
  <c r="W82" i="1" s="1"/>
  <c r="X82" i="1" a="1"/>
  <c r="X82" i="1" s="1"/>
  <c r="Y82" i="1" a="1"/>
  <c r="Y82" i="1" s="1"/>
  <c r="B83" i="1" a="1"/>
  <c r="B83" i="1" s="1"/>
  <c r="C83" i="1" a="1"/>
  <c r="C83" i="1" s="1"/>
  <c r="D83" i="1" a="1"/>
  <c r="D83" i="1" s="1"/>
  <c r="H83" i="1" a="1"/>
  <c r="H83" i="1" s="1"/>
  <c r="I83" i="1" a="1"/>
  <c r="I83" i="1" s="1"/>
  <c r="J83" i="1" a="1"/>
  <c r="J83" i="1" s="1"/>
  <c r="K83" i="1" a="1"/>
  <c r="K83" i="1" s="1"/>
  <c r="L83" i="1" a="1"/>
  <c r="L83" i="1" s="1"/>
  <c r="M83" i="1" a="1"/>
  <c r="M83" i="1" s="1"/>
  <c r="N83" i="1" a="1"/>
  <c r="N83" i="1" s="1"/>
  <c r="O83" i="1" a="1"/>
  <c r="O83" i="1" s="1"/>
  <c r="P83" i="1" a="1"/>
  <c r="P83" i="1" s="1"/>
  <c r="Q83" i="1" a="1"/>
  <c r="Q83" i="1" s="1"/>
  <c r="R83" i="1" a="1"/>
  <c r="R83" i="1" s="1"/>
  <c r="S83" i="1" a="1"/>
  <c r="S83" i="1" s="1"/>
  <c r="T83" i="1" a="1"/>
  <c r="T83" i="1" s="1"/>
  <c r="U83" i="1" a="1"/>
  <c r="U83" i="1" s="1"/>
  <c r="V83" i="1" a="1"/>
  <c r="V83" i="1" s="1"/>
  <c r="W83" i="1" a="1"/>
  <c r="W83" i="1" s="1"/>
  <c r="X83" i="1" a="1"/>
  <c r="X83" i="1" s="1"/>
  <c r="Y83" i="1" a="1"/>
  <c r="Y83" i="1" s="1"/>
  <c r="B84" i="1" a="1"/>
  <c r="B84" i="1" s="1"/>
  <c r="C84" i="1" a="1"/>
  <c r="C84" i="1" s="1"/>
  <c r="D84" i="1" a="1"/>
  <c r="D84" i="1" s="1"/>
  <c r="H84" i="1" a="1"/>
  <c r="H84" i="1" s="1"/>
  <c r="I84" i="1" a="1"/>
  <c r="I84" i="1" s="1"/>
  <c r="J84" i="1" a="1"/>
  <c r="J84" i="1" s="1"/>
  <c r="K84" i="1" a="1"/>
  <c r="K84" i="1" s="1"/>
  <c r="L84" i="1" a="1"/>
  <c r="L84" i="1" s="1"/>
  <c r="M84" i="1" a="1"/>
  <c r="M84" i="1" s="1"/>
  <c r="N84" i="1" a="1"/>
  <c r="N84" i="1" s="1"/>
  <c r="O84" i="1" a="1"/>
  <c r="O84" i="1" s="1"/>
  <c r="P84" i="1" a="1"/>
  <c r="P84" i="1" s="1"/>
  <c r="Q84" i="1" a="1"/>
  <c r="Q84" i="1" s="1"/>
  <c r="R84" i="1" a="1"/>
  <c r="R84" i="1" s="1"/>
  <c r="S84" i="1" a="1"/>
  <c r="S84" i="1" s="1"/>
  <c r="T84" i="1" a="1"/>
  <c r="T84" i="1" s="1"/>
  <c r="U84" i="1" a="1"/>
  <c r="U84" i="1" s="1"/>
  <c r="V84" i="1" a="1"/>
  <c r="V84" i="1" s="1"/>
  <c r="W84" i="1" a="1"/>
  <c r="W84" i="1" s="1"/>
  <c r="X84" i="1" a="1"/>
  <c r="X84" i="1" s="1"/>
  <c r="Y84" i="1" a="1"/>
  <c r="Y84" i="1" s="1"/>
  <c r="B85" i="1" a="1"/>
  <c r="B85" i="1" s="1"/>
  <c r="C85" i="1" a="1"/>
  <c r="C85" i="1" s="1"/>
  <c r="D85" i="1" a="1"/>
  <c r="D85" i="1" s="1"/>
  <c r="H85" i="1" a="1"/>
  <c r="H85" i="1" s="1"/>
  <c r="I85" i="1" a="1"/>
  <c r="I85" i="1" s="1"/>
  <c r="J85" i="1" a="1"/>
  <c r="J85" i="1" s="1"/>
  <c r="K85" i="1" a="1"/>
  <c r="K85" i="1" s="1"/>
  <c r="L85" i="1" a="1"/>
  <c r="L85" i="1" s="1"/>
  <c r="M85" i="1" a="1"/>
  <c r="M85" i="1" s="1"/>
  <c r="N85" i="1" a="1"/>
  <c r="N85" i="1" s="1"/>
  <c r="O85" i="1" a="1"/>
  <c r="O85" i="1" s="1"/>
  <c r="P85" i="1" a="1"/>
  <c r="P85" i="1" s="1"/>
  <c r="Q85" i="1" a="1"/>
  <c r="Q85" i="1" s="1"/>
  <c r="R85" i="1" a="1"/>
  <c r="R85" i="1" s="1"/>
  <c r="S85" i="1" a="1"/>
  <c r="S85" i="1" s="1"/>
  <c r="T85" i="1" a="1"/>
  <c r="T85" i="1" s="1"/>
  <c r="U85" i="1" a="1"/>
  <c r="U85" i="1" s="1"/>
  <c r="V85" i="1" a="1"/>
  <c r="V85" i="1" s="1"/>
  <c r="W85" i="1" a="1"/>
  <c r="W85" i="1" s="1"/>
  <c r="X85" i="1" a="1"/>
  <c r="X85" i="1" s="1"/>
  <c r="Y85" i="1" a="1"/>
  <c r="Y85" i="1" s="1"/>
  <c r="B86" i="1" a="1"/>
  <c r="B86" i="1" s="1"/>
  <c r="C86" i="1" a="1"/>
  <c r="C86" i="1" s="1"/>
  <c r="D86" i="1" a="1"/>
  <c r="D86" i="1" s="1"/>
  <c r="H86" i="1" a="1"/>
  <c r="H86" i="1" s="1"/>
  <c r="I86" i="1" a="1"/>
  <c r="I86" i="1" s="1"/>
  <c r="J86" i="1" a="1"/>
  <c r="J86" i="1" s="1"/>
  <c r="K86" i="1" a="1"/>
  <c r="K86" i="1" s="1"/>
  <c r="L86" i="1" a="1"/>
  <c r="L86" i="1" s="1"/>
  <c r="M86" i="1" a="1"/>
  <c r="M86" i="1" s="1"/>
  <c r="N86" i="1" a="1"/>
  <c r="N86" i="1" s="1"/>
  <c r="O86" i="1" a="1"/>
  <c r="O86" i="1" s="1"/>
  <c r="P86" i="1" a="1"/>
  <c r="P86" i="1" s="1"/>
  <c r="Q86" i="1" a="1"/>
  <c r="Q86" i="1" s="1"/>
  <c r="R86" i="1" a="1"/>
  <c r="R86" i="1" s="1"/>
  <c r="S86" i="1" a="1"/>
  <c r="S86" i="1" s="1"/>
  <c r="T86" i="1" a="1"/>
  <c r="T86" i="1" s="1"/>
  <c r="U86" i="1" a="1"/>
  <c r="U86" i="1" s="1"/>
  <c r="V86" i="1" a="1"/>
  <c r="V86" i="1" s="1"/>
  <c r="W86" i="1" a="1"/>
  <c r="W86" i="1" s="1"/>
  <c r="X86" i="1" a="1"/>
  <c r="X86" i="1" s="1"/>
  <c r="Y86" i="1" a="1"/>
  <c r="Y86" i="1" s="1"/>
  <c r="B87" i="1" a="1"/>
  <c r="B87" i="1" s="1"/>
  <c r="C87" i="1" a="1"/>
  <c r="C87" i="1" s="1"/>
  <c r="D87" i="1" a="1"/>
  <c r="D87" i="1" s="1"/>
  <c r="H87" i="1" a="1"/>
  <c r="H87" i="1" s="1"/>
  <c r="I87" i="1" a="1"/>
  <c r="I87" i="1" s="1"/>
  <c r="J87" i="1" a="1"/>
  <c r="J87" i="1" s="1"/>
  <c r="K87" i="1" a="1"/>
  <c r="K87" i="1" s="1"/>
  <c r="L87" i="1" a="1"/>
  <c r="L87" i="1" s="1"/>
  <c r="M87" i="1" a="1"/>
  <c r="M87" i="1" s="1"/>
  <c r="N87" i="1" a="1"/>
  <c r="N87" i="1" s="1"/>
  <c r="O87" i="1" a="1"/>
  <c r="O87" i="1" s="1"/>
  <c r="P87" i="1" a="1"/>
  <c r="P87" i="1" s="1"/>
  <c r="Q87" i="1" a="1"/>
  <c r="Q87" i="1" s="1"/>
  <c r="R87" i="1" a="1"/>
  <c r="R87" i="1" s="1"/>
  <c r="S87" i="1" a="1"/>
  <c r="S87" i="1" s="1"/>
  <c r="T87" i="1" a="1"/>
  <c r="T87" i="1" s="1"/>
  <c r="U87" i="1" a="1"/>
  <c r="U87" i="1" s="1"/>
  <c r="V87" i="1" a="1"/>
  <c r="V87" i="1" s="1"/>
  <c r="W87" i="1" a="1"/>
  <c r="W87" i="1" s="1"/>
  <c r="X87" i="1" a="1"/>
  <c r="X87" i="1" s="1"/>
  <c r="Y87" i="1" a="1"/>
  <c r="Y87" i="1" s="1"/>
  <c r="B88" i="1" a="1"/>
  <c r="B88" i="1" s="1"/>
  <c r="C88" i="1" a="1"/>
  <c r="C88" i="1" s="1"/>
  <c r="D88" i="1" a="1"/>
  <c r="D88" i="1" s="1"/>
  <c r="H88" i="1" a="1"/>
  <c r="H88" i="1" s="1"/>
  <c r="I88" i="1" a="1"/>
  <c r="I88" i="1" s="1"/>
  <c r="J88" i="1" a="1"/>
  <c r="J88" i="1" s="1"/>
  <c r="K88" i="1" a="1"/>
  <c r="K88" i="1" s="1"/>
  <c r="L88" i="1" a="1"/>
  <c r="L88" i="1" s="1"/>
  <c r="M88" i="1" a="1"/>
  <c r="M88" i="1" s="1"/>
  <c r="N88" i="1" a="1"/>
  <c r="N88" i="1" s="1"/>
  <c r="O88" i="1" a="1"/>
  <c r="O88" i="1" s="1"/>
  <c r="P88" i="1" a="1"/>
  <c r="P88" i="1" s="1"/>
  <c r="Q88" i="1" a="1"/>
  <c r="Q88" i="1" s="1"/>
  <c r="R88" i="1" a="1"/>
  <c r="R88" i="1" s="1"/>
  <c r="S88" i="1" a="1"/>
  <c r="S88" i="1" s="1"/>
  <c r="T88" i="1" a="1"/>
  <c r="T88" i="1" s="1"/>
  <c r="U88" i="1" a="1"/>
  <c r="U88" i="1" s="1"/>
  <c r="V88" i="1" a="1"/>
  <c r="V88" i="1" s="1"/>
  <c r="W88" i="1" a="1"/>
  <c r="W88" i="1" s="1"/>
  <c r="X88" i="1" a="1"/>
  <c r="X88" i="1" s="1"/>
  <c r="Y88" i="1" a="1"/>
  <c r="Y88" i="1" s="1"/>
  <c r="B89" i="1" a="1"/>
  <c r="B89" i="1" s="1"/>
  <c r="C89" i="1" a="1"/>
  <c r="C89" i="1" s="1"/>
  <c r="D89" i="1" a="1"/>
  <c r="D89" i="1" s="1"/>
  <c r="H89" i="1" a="1"/>
  <c r="H89" i="1" s="1"/>
  <c r="I89" i="1" a="1"/>
  <c r="I89" i="1" s="1"/>
  <c r="J89" i="1" a="1"/>
  <c r="J89" i="1" s="1"/>
  <c r="K89" i="1" a="1"/>
  <c r="K89" i="1" s="1"/>
  <c r="L89" i="1" a="1"/>
  <c r="L89" i="1" s="1"/>
  <c r="M89" i="1" a="1"/>
  <c r="M89" i="1" s="1"/>
  <c r="N89" i="1" a="1"/>
  <c r="N89" i="1" s="1"/>
  <c r="O89" i="1" a="1"/>
  <c r="O89" i="1" s="1"/>
  <c r="P89" i="1" a="1"/>
  <c r="P89" i="1" s="1"/>
  <c r="Q89" i="1" a="1"/>
  <c r="Q89" i="1" s="1"/>
  <c r="R89" i="1" a="1"/>
  <c r="R89" i="1" s="1"/>
  <c r="S89" i="1" a="1"/>
  <c r="S89" i="1" s="1"/>
  <c r="T89" i="1" a="1"/>
  <c r="T89" i="1" s="1"/>
  <c r="U89" i="1" a="1"/>
  <c r="U89" i="1" s="1"/>
  <c r="V89" i="1" a="1"/>
  <c r="V89" i="1" s="1"/>
  <c r="W89" i="1" a="1"/>
  <c r="W89" i="1" s="1"/>
  <c r="X89" i="1" a="1"/>
  <c r="X89" i="1" s="1"/>
  <c r="Y89" i="1" a="1"/>
  <c r="Y89" i="1" s="1"/>
  <c r="B90" i="1" a="1"/>
  <c r="B90" i="1" s="1"/>
  <c r="C90" i="1" a="1"/>
  <c r="C90" i="1" s="1"/>
  <c r="D90" i="1" a="1"/>
  <c r="D90" i="1" s="1"/>
  <c r="H90" i="1" a="1"/>
  <c r="H90" i="1" s="1"/>
  <c r="I90" i="1" a="1"/>
  <c r="I90" i="1" s="1"/>
  <c r="J90" i="1" a="1"/>
  <c r="J90" i="1" s="1"/>
  <c r="K90" i="1" a="1"/>
  <c r="K90" i="1" s="1"/>
  <c r="L90" i="1" a="1"/>
  <c r="L90" i="1" s="1"/>
  <c r="M90" i="1" a="1"/>
  <c r="M90" i="1" s="1"/>
  <c r="N90" i="1" a="1"/>
  <c r="N90" i="1" s="1"/>
  <c r="O90" i="1" a="1"/>
  <c r="O90" i="1" s="1"/>
  <c r="P90" i="1" a="1"/>
  <c r="P90" i="1" s="1"/>
  <c r="Q90" i="1" a="1"/>
  <c r="Q90" i="1" s="1"/>
  <c r="R90" i="1" a="1"/>
  <c r="R90" i="1" s="1"/>
  <c r="S90" i="1" a="1"/>
  <c r="S90" i="1" s="1"/>
  <c r="T90" i="1" a="1"/>
  <c r="T90" i="1" s="1"/>
  <c r="U90" i="1" a="1"/>
  <c r="U90" i="1" s="1"/>
  <c r="V90" i="1" a="1"/>
  <c r="V90" i="1" s="1"/>
  <c r="W90" i="1" a="1"/>
  <c r="W90" i="1" s="1"/>
  <c r="X90" i="1" a="1"/>
  <c r="X90" i="1" s="1"/>
  <c r="Y90" i="1" a="1"/>
  <c r="Y90" i="1" s="1"/>
  <c r="B91" i="1" a="1"/>
  <c r="B91" i="1" s="1"/>
  <c r="C91" i="1" a="1"/>
  <c r="C91" i="1" s="1"/>
  <c r="D91" i="1" a="1"/>
  <c r="D91" i="1" s="1"/>
  <c r="H91" i="1" a="1"/>
  <c r="H91" i="1" s="1"/>
  <c r="I91" i="1" a="1"/>
  <c r="I91" i="1" s="1"/>
  <c r="J91" i="1" a="1"/>
  <c r="J91" i="1" s="1"/>
  <c r="K91" i="1" a="1"/>
  <c r="K91" i="1" s="1"/>
  <c r="L91" i="1" a="1"/>
  <c r="L91" i="1" s="1"/>
  <c r="M91" i="1" a="1"/>
  <c r="M91" i="1" s="1"/>
  <c r="N91" i="1" a="1"/>
  <c r="N91" i="1" s="1"/>
  <c r="O91" i="1" a="1"/>
  <c r="O91" i="1" s="1"/>
  <c r="P91" i="1" a="1"/>
  <c r="P91" i="1" s="1"/>
  <c r="Q91" i="1" a="1"/>
  <c r="Q91" i="1" s="1"/>
  <c r="R91" i="1" a="1"/>
  <c r="R91" i="1" s="1"/>
  <c r="S91" i="1" a="1"/>
  <c r="S91" i="1" s="1"/>
  <c r="T91" i="1" a="1"/>
  <c r="T91" i="1" s="1"/>
  <c r="U91" i="1" a="1"/>
  <c r="U91" i="1" s="1"/>
  <c r="V91" i="1" a="1"/>
  <c r="V91" i="1" s="1"/>
  <c r="W91" i="1" a="1"/>
  <c r="W91" i="1" s="1"/>
  <c r="X91" i="1" a="1"/>
  <c r="X91" i="1" s="1"/>
  <c r="Y91" i="1" a="1"/>
  <c r="Y91" i="1" s="1"/>
  <c r="B92" i="1" a="1"/>
  <c r="B92" i="1" s="1"/>
  <c r="C92" i="1" a="1"/>
  <c r="C92" i="1" s="1"/>
  <c r="D92" i="1" a="1"/>
  <c r="D92" i="1" s="1"/>
  <c r="H92" i="1" a="1"/>
  <c r="H92" i="1" s="1"/>
  <c r="I92" i="1" a="1"/>
  <c r="I92" i="1" s="1"/>
  <c r="J92" i="1" a="1"/>
  <c r="J92" i="1" s="1"/>
  <c r="K92" i="1" a="1"/>
  <c r="K92" i="1" s="1"/>
  <c r="L92" i="1" a="1"/>
  <c r="L92" i="1" s="1"/>
  <c r="M92" i="1" a="1"/>
  <c r="M92" i="1" s="1"/>
  <c r="N92" i="1" a="1"/>
  <c r="N92" i="1" s="1"/>
  <c r="O92" i="1" a="1"/>
  <c r="O92" i="1" s="1"/>
  <c r="P92" i="1" a="1"/>
  <c r="P92" i="1" s="1"/>
  <c r="Q92" i="1" a="1"/>
  <c r="Q92" i="1" s="1"/>
  <c r="R92" i="1" a="1"/>
  <c r="R92" i="1" s="1"/>
  <c r="S92" i="1" a="1"/>
  <c r="S92" i="1" s="1"/>
  <c r="T92" i="1" a="1"/>
  <c r="T92" i="1" s="1"/>
  <c r="U92" i="1" a="1"/>
  <c r="U92" i="1" s="1"/>
  <c r="V92" i="1" a="1"/>
  <c r="V92" i="1" s="1"/>
  <c r="W92" i="1" a="1"/>
  <c r="W92" i="1" s="1"/>
  <c r="X92" i="1" a="1"/>
  <c r="X92" i="1" s="1"/>
  <c r="Y92" i="1" a="1"/>
  <c r="Y92" i="1" s="1"/>
  <c r="B93" i="1" a="1"/>
  <c r="B93" i="1" s="1"/>
  <c r="C93" i="1" a="1"/>
  <c r="C93" i="1" s="1"/>
  <c r="D93" i="1" a="1"/>
  <c r="D93" i="1" s="1"/>
  <c r="H93" i="1" a="1"/>
  <c r="H93" i="1" s="1"/>
  <c r="I93" i="1" a="1"/>
  <c r="I93" i="1" s="1"/>
  <c r="J93" i="1" a="1"/>
  <c r="J93" i="1" s="1"/>
  <c r="K93" i="1" a="1"/>
  <c r="K93" i="1" s="1"/>
  <c r="L93" i="1" a="1"/>
  <c r="L93" i="1" s="1"/>
  <c r="M93" i="1" a="1"/>
  <c r="M93" i="1" s="1"/>
  <c r="N93" i="1" a="1"/>
  <c r="N93" i="1" s="1"/>
  <c r="O93" i="1" a="1"/>
  <c r="O93" i="1" s="1"/>
  <c r="P93" i="1" a="1"/>
  <c r="P93" i="1" s="1"/>
  <c r="Q93" i="1" a="1"/>
  <c r="Q93" i="1" s="1"/>
  <c r="R93" i="1" a="1"/>
  <c r="R93" i="1" s="1"/>
  <c r="S93" i="1" a="1"/>
  <c r="S93" i="1" s="1"/>
  <c r="T93" i="1" a="1"/>
  <c r="T93" i="1" s="1"/>
  <c r="U93" i="1" a="1"/>
  <c r="U93" i="1" s="1"/>
  <c r="V93" i="1" a="1"/>
  <c r="V93" i="1" s="1"/>
  <c r="W93" i="1" a="1"/>
  <c r="W93" i="1" s="1"/>
  <c r="X93" i="1" a="1"/>
  <c r="X93" i="1" s="1"/>
  <c r="Y93" i="1" a="1"/>
  <c r="Y93" i="1" s="1"/>
  <c r="B94" i="1" a="1"/>
  <c r="B94" i="1" s="1"/>
  <c r="C94" i="1" a="1"/>
  <c r="C94" i="1" s="1"/>
  <c r="D94" i="1" a="1"/>
  <c r="D94" i="1" s="1"/>
  <c r="H94" i="1" a="1"/>
  <c r="H94" i="1" s="1"/>
  <c r="I94" i="1" a="1"/>
  <c r="I94" i="1" s="1"/>
  <c r="J94" i="1" a="1"/>
  <c r="J94" i="1" s="1"/>
  <c r="K94" i="1" a="1"/>
  <c r="K94" i="1" s="1"/>
  <c r="L94" i="1" a="1"/>
  <c r="L94" i="1" s="1"/>
  <c r="M94" i="1" a="1"/>
  <c r="M94" i="1" s="1"/>
  <c r="N94" i="1" a="1"/>
  <c r="N94" i="1" s="1"/>
  <c r="O94" i="1" a="1"/>
  <c r="O94" i="1" s="1"/>
  <c r="P94" i="1" a="1"/>
  <c r="P94" i="1" s="1"/>
  <c r="Q94" i="1" a="1"/>
  <c r="Q94" i="1" s="1"/>
  <c r="R94" i="1" a="1"/>
  <c r="R94" i="1" s="1"/>
  <c r="S94" i="1" a="1"/>
  <c r="S94" i="1" s="1"/>
  <c r="T94" i="1" a="1"/>
  <c r="T94" i="1" s="1"/>
  <c r="U94" i="1" a="1"/>
  <c r="U94" i="1" s="1"/>
  <c r="V94" i="1" a="1"/>
  <c r="V94" i="1" s="1"/>
  <c r="W94" i="1" a="1"/>
  <c r="W94" i="1" s="1"/>
  <c r="X94" i="1" a="1"/>
  <c r="X94" i="1" s="1"/>
  <c r="Y94" i="1" a="1"/>
  <c r="Y94" i="1" s="1"/>
  <c r="B95" i="1" a="1"/>
  <c r="B95" i="1" s="1"/>
  <c r="C95" i="1" a="1"/>
  <c r="C95" i="1" s="1"/>
  <c r="D95" i="1" a="1"/>
  <c r="D95" i="1" s="1"/>
  <c r="H95" i="1" a="1"/>
  <c r="H95" i="1" s="1"/>
  <c r="I95" i="1" a="1"/>
  <c r="I95" i="1" s="1"/>
  <c r="J95" i="1" a="1"/>
  <c r="J95" i="1" s="1"/>
  <c r="K95" i="1" a="1"/>
  <c r="K95" i="1" s="1"/>
  <c r="L95" i="1" a="1"/>
  <c r="L95" i="1" s="1"/>
  <c r="M95" i="1" a="1"/>
  <c r="M95" i="1" s="1"/>
  <c r="N95" i="1" a="1"/>
  <c r="N95" i="1" s="1"/>
  <c r="O95" i="1" a="1"/>
  <c r="O95" i="1" s="1"/>
  <c r="P95" i="1" a="1"/>
  <c r="P95" i="1" s="1"/>
  <c r="Q95" i="1" a="1"/>
  <c r="Q95" i="1" s="1"/>
  <c r="R95" i="1" a="1"/>
  <c r="R95" i="1" s="1"/>
  <c r="S95" i="1" a="1"/>
  <c r="S95" i="1" s="1"/>
  <c r="T95" i="1" a="1"/>
  <c r="T95" i="1" s="1"/>
  <c r="U95" i="1" a="1"/>
  <c r="U95" i="1" s="1"/>
  <c r="V95" i="1" a="1"/>
  <c r="V95" i="1" s="1"/>
  <c r="W95" i="1" a="1"/>
  <c r="W95" i="1" s="1"/>
  <c r="X95" i="1" a="1"/>
  <c r="X95" i="1" s="1"/>
  <c r="Y95" i="1" a="1"/>
  <c r="Y95" i="1" s="1"/>
  <c r="B96" i="1" a="1"/>
  <c r="B96" i="1" s="1"/>
  <c r="C96" i="1" a="1"/>
  <c r="C96" i="1" s="1"/>
  <c r="D96" i="1" a="1"/>
  <c r="D96" i="1" s="1"/>
  <c r="H96" i="1" a="1"/>
  <c r="H96" i="1" s="1"/>
  <c r="I96" i="1" a="1"/>
  <c r="I96" i="1" s="1"/>
  <c r="J96" i="1" a="1"/>
  <c r="J96" i="1" s="1"/>
  <c r="K96" i="1" a="1"/>
  <c r="K96" i="1" s="1"/>
  <c r="L96" i="1" a="1"/>
  <c r="L96" i="1" s="1"/>
  <c r="M96" i="1" a="1"/>
  <c r="M96" i="1" s="1"/>
  <c r="N96" i="1" a="1"/>
  <c r="N96" i="1" s="1"/>
  <c r="O96" i="1" a="1"/>
  <c r="O96" i="1" s="1"/>
  <c r="P96" i="1" a="1"/>
  <c r="P96" i="1" s="1"/>
  <c r="Q96" i="1" a="1"/>
  <c r="Q96" i="1" s="1"/>
  <c r="R96" i="1" a="1"/>
  <c r="R96" i="1" s="1"/>
  <c r="S96" i="1" a="1"/>
  <c r="S96" i="1" s="1"/>
  <c r="T96" i="1" a="1"/>
  <c r="T96" i="1" s="1"/>
  <c r="U96" i="1" a="1"/>
  <c r="U96" i="1" s="1"/>
  <c r="V96" i="1" a="1"/>
  <c r="V96" i="1" s="1"/>
  <c r="W96" i="1" a="1"/>
  <c r="W96" i="1" s="1"/>
  <c r="X96" i="1" a="1"/>
  <c r="X96" i="1" s="1"/>
  <c r="Y96" i="1" a="1"/>
  <c r="Y96" i="1" s="1"/>
  <c r="B97" i="1" a="1"/>
  <c r="B97" i="1" s="1"/>
  <c r="C97" i="1" a="1"/>
  <c r="C97" i="1" s="1"/>
  <c r="D97" i="1" a="1"/>
  <c r="D97" i="1" s="1"/>
  <c r="H97" i="1" a="1"/>
  <c r="H97" i="1" s="1"/>
  <c r="I97" i="1" a="1"/>
  <c r="I97" i="1" s="1"/>
  <c r="J97" i="1" a="1"/>
  <c r="J97" i="1" s="1"/>
  <c r="K97" i="1" a="1"/>
  <c r="K97" i="1" s="1"/>
  <c r="L97" i="1" a="1"/>
  <c r="L97" i="1" s="1"/>
  <c r="M97" i="1" a="1"/>
  <c r="M97" i="1" s="1"/>
  <c r="N97" i="1" a="1"/>
  <c r="N97" i="1" s="1"/>
  <c r="O97" i="1" a="1"/>
  <c r="O97" i="1" s="1"/>
  <c r="P97" i="1" a="1"/>
  <c r="P97" i="1" s="1"/>
  <c r="Q97" i="1" a="1"/>
  <c r="Q97" i="1" s="1"/>
  <c r="R97" i="1" a="1"/>
  <c r="R97" i="1" s="1"/>
  <c r="S97" i="1" a="1"/>
  <c r="S97" i="1" s="1"/>
  <c r="T97" i="1" a="1"/>
  <c r="T97" i="1" s="1"/>
  <c r="U97" i="1" a="1"/>
  <c r="U97" i="1" s="1"/>
  <c r="V97" i="1" a="1"/>
  <c r="V97" i="1" s="1"/>
  <c r="W97" i="1" a="1"/>
  <c r="W97" i="1" s="1"/>
  <c r="X97" i="1" a="1"/>
  <c r="X97" i="1" s="1"/>
  <c r="Y97" i="1" a="1"/>
  <c r="Y97" i="1" s="1"/>
  <c r="B98" i="1" a="1"/>
  <c r="B98" i="1" s="1"/>
  <c r="C98" i="1" a="1"/>
  <c r="C98" i="1" s="1"/>
  <c r="D98" i="1" a="1"/>
  <c r="D98" i="1" s="1"/>
  <c r="H98" i="1" a="1"/>
  <c r="H98" i="1" s="1"/>
  <c r="I98" i="1" a="1"/>
  <c r="I98" i="1" s="1"/>
  <c r="J98" i="1" a="1"/>
  <c r="J98" i="1" s="1"/>
  <c r="K98" i="1" a="1"/>
  <c r="K98" i="1" s="1"/>
  <c r="L98" i="1" a="1"/>
  <c r="L98" i="1" s="1"/>
  <c r="M98" i="1" a="1"/>
  <c r="M98" i="1" s="1"/>
  <c r="N98" i="1" a="1"/>
  <c r="N98" i="1" s="1"/>
  <c r="O98" i="1" a="1"/>
  <c r="O98" i="1" s="1"/>
  <c r="P98" i="1" a="1"/>
  <c r="P98" i="1" s="1"/>
  <c r="Q98" i="1" a="1"/>
  <c r="Q98" i="1" s="1"/>
  <c r="R98" i="1" a="1"/>
  <c r="R98" i="1" s="1"/>
  <c r="S98" i="1" a="1"/>
  <c r="S98" i="1" s="1"/>
  <c r="T98" i="1" a="1"/>
  <c r="T98" i="1" s="1"/>
  <c r="U98" i="1" a="1"/>
  <c r="U98" i="1" s="1"/>
  <c r="V98" i="1" a="1"/>
  <c r="V98" i="1" s="1"/>
  <c r="W98" i="1" a="1"/>
  <c r="W98" i="1" s="1"/>
  <c r="X98" i="1" a="1"/>
  <c r="X98" i="1" s="1"/>
  <c r="Y98" i="1" a="1"/>
  <c r="Y98" i="1" s="1"/>
  <c r="B99" i="1" a="1"/>
  <c r="B99" i="1" s="1"/>
  <c r="C99" i="1" a="1"/>
  <c r="C99" i="1" s="1"/>
  <c r="D99" i="1" a="1"/>
  <c r="D99" i="1" s="1"/>
  <c r="H99" i="1" a="1"/>
  <c r="H99" i="1" s="1"/>
  <c r="I99" i="1" a="1"/>
  <c r="I99" i="1" s="1"/>
  <c r="J99" i="1" a="1"/>
  <c r="J99" i="1" s="1"/>
  <c r="K99" i="1" a="1"/>
  <c r="K99" i="1" s="1"/>
  <c r="L99" i="1" a="1"/>
  <c r="L99" i="1" s="1"/>
  <c r="M99" i="1" a="1"/>
  <c r="M99" i="1" s="1"/>
  <c r="N99" i="1" a="1"/>
  <c r="N99" i="1" s="1"/>
  <c r="O99" i="1" a="1"/>
  <c r="O99" i="1" s="1"/>
  <c r="P99" i="1" a="1"/>
  <c r="P99" i="1" s="1"/>
  <c r="Q99" i="1" a="1"/>
  <c r="Q99" i="1" s="1"/>
  <c r="R99" i="1" a="1"/>
  <c r="R99" i="1" s="1"/>
  <c r="S99" i="1" a="1"/>
  <c r="S99" i="1" s="1"/>
  <c r="T99" i="1" a="1"/>
  <c r="T99" i="1" s="1"/>
  <c r="U99" i="1" a="1"/>
  <c r="U99" i="1" s="1"/>
  <c r="V99" i="1" a="1"/>
  <c r="V99" i="1" s="1"/>
  <c r="W99" i="1" a="1"/>
  <c r="W99" i="1" s="1"/>
  <c r="X99" i="1" a="1"/>
  <c r="X99" i="1" s="1"/>
  <c r="Y99" i="1" a="1"/>
  <c r="Y99" i="1" s="1"/>
  <c r="B100" i="1" a="1"/>
  <c r="B100" i="1" s="1"/>
  <c r="C100" i="1" a="1"/>
  <c r="C100" i="1" s="1"/>
  <c r="D100" i="1" a="1"/>
  <c r="D100" i="1" s="1"/>
  <c r="H100" i="1" a="1"/>
  <c r="H100" i="1" s="1"/>
  <c r="I100" i="1" a="1"/>
  <c r="I100" i="1" s="1"/>
  <c r="J100" i="1" a="1"/>
  <c r="J100" i="1" s="1"/>
  <c r="K100" i="1" a="1"/>
  <c r="K100" i="1" s="1"/>
  <c r="L100" i="1" a="1"/>
  <c r="L100" i="1" s="1"/>
  <c r="M100" i="1" a="1"/>
  <c r="M100" i="1" s="1"/>
  <c r="N100" i="1" a="1"/>
  <c r="N100" i="1" s="1"/>
  <c r="O100" i="1" a="1"/>
  <c r="O100" i="1" s="1"/>
  <c r="P100" i="1" a="1"/>
  <c r="P100" i="1" s="1"/>
  <c r="Q100" i="1" a="1"/>
  <c r="Q100" i="1" s="1"/>
  <c r="R100" i="1" a="1"/>
  <c r="R100" i="1" s="1"/>
  <c r="S100" i="1" a="1"/>
  <c r="S100" i="1" s="1"/>
  <c r="T100" i="1" a="1"/>
  <c r="T100" i="1" s="1"/>
  <c r="U100" i="1" a="1"/>
  <c r="U100" i="1" s="1"/>
  <c r="V100" i="1" a="1"/>
  <c r="V100" i="1" s="1"/>
  <c r="W100" i="1" a="1"/>
  <c r="W100" i="1" s="1"/>
  <c r="X100" i="1" a="1"/>
  <c r="X100" i="1" s="1"/>
  <c r="Y100" i="1" a="1"/>
  <c r="Y100" i="1" s="1"/>
  <c r="B143" i="1" a="1"/>
  <c r="B143" i="1" s="1"/>
  <c r="B142" i="1" a="1"/>
  <c r="B142" i="1" s="1"/>
  <c r="B141" i="1" a="1"/>
  <c r="B141" i="1" s="1"/>
  <c r="B140" i="1" a="1"/>
  <c r="B140" i="1" s="1"/>
  <c r="B139" i="1" a="1"/>
  <c r="B139" i="1" s="1"/>
  <c r="B138" i="1" a="1"/>
  <c r="B138" i="1" s="1"/>
  <c r="B137" i="1" a="1"/>
  <c r="B137" i="1" s="1"/>
  <c r="B136" i="1" a="1"/>
  <c r="B136" i="1" s="1"/>
  <c r="B135" i="1" a="1"/>
  <c r="B135" i="1" s="1"/>
  <c r="B134" i="1" a="1"/>
  <c r="B134" i="1" s="1"/>
  <c r="B133" i="1" a="1"/>
  <c r="B133" i="1" s="1"/>
  <c r="B132" i="1" a="1"/>
  <c r="B132" i="1" s="1"/>
  <c r="B131" i="1" a="1"/>
  <c r="B131" i="1" s="1"/>
  <c r="B130" i="1" a="1"/>
  <c r="B130" i="1" s="1"/>
  <c r="B129" i="1" a="1"/>
  <c r="B129" i="1" s="1"/>
  <c r="B128" i="1" a="1"/>
  <c r="B128" i="1" s="1"/>
  <c r="B127" i="1" a="1"/>
  <c r="B127" i="1" s="1"/>
  <c r="B126" i="1" a="1"/>
  <c r="B126" i="1" s="1"/>
  <c r="B125" i="1" a="1"/>
  <c r="B125" i="1" s="1"/>
  <c r="B124" i="1" a="1"/>
  <c r="B124" i="1" s="1"/>
  <c r="B123" i="1" a="1"/>
  <c r="B123" i="1" s="1"/>
  <c r="B122" i="1" a="1"/>
  <c r="B122" i="1" s="1"/>
  <c r="B121" i="1" a="1"/>
  <c r="B121" i="1" s="1"/>
  <c r="B120" i="1" a="1"/>
  <c r="B120" i="1" s="1"/>
  <c r="B119" i="1" a="1"/>
  <c r="B119" i="1" s="1"/>
  <c r="B118" i="1" a="1"/>
  <c r="B118" i="1" s="1"/>
  <c r="B117" i="1" a="1"/>
  <c r="B117" i="1" s="1"/>
  <c r="B116" i="1" a="1"/>
  <c r="B116" i="1" s="1"/>
  <c r="B115" i="1" a="1"/>
  <c r="B115" i="1" s="1"/>
  <c r="B114" i="1" a="1"/>
  <c r="B114" i="1" s="1"/>
  <c r="B113" i="1" a="1"/>
  <c r="B113" i="1" s="1"/>
  <c r="B112" i="1" a="1"/>
  <c r="B112" i="1" s="1"/>
  <c r="B111" i="1" a="1"/>
  <c r="B111" i="1" s="1"/>
  <c r="B110" i="1" a="1"/>
  <c r="B110" i="1" s="1"/>
  <c r="B109" i="1" a="1"/>
  <c r="B109" i="1" s="1"/>
  <c r="B108" i="1" a="1"/>
  <c r="B108" i="1" s="1"/>
  <c r="B107" i="1" a="1"/>
  <c r="B107" i="1" s="1"/>
  <c r="B106" i="1" a="1"/>
  <c r="B106" i="1" s="1"/>
  <c r="B105" i="1" a="1"/>
  <c r="B105" i="1" s="1"/>
  <c r="B104" i="1" a="1"/>
  <c r="B104" i="1" s="1"/>
  <c r="B103" i="1" a="1"/>
  <c r="B103" i="1" s="1"/>
  <c r="B102" i="1" a="1"/>
  <c r="B102" i="1" s="1"/>
  <c r="B101" i="1" a="1"/>
  <c r="B101" i="1" s="1"/>
  <c r="A2" i="1" a="1"/>
  <c r="Z4" i="1" l="1" a="1"/>
  <c r="Z4" i="1" s="1"/>
  <c r="G8" i="1" a="1"/>
  <c r="G8" i="1" s="1"/>
  <c r="H8" i="1" a="1"/>
  <c r="H8" i="1" s="1"/>
  <c r="L8" i="1" a="1"/>
  <c r="L8" i="1" s="1"/>
  <c r="P8" i="1" a="1"/>
  <c r="P8" i="1" s="1"/>
  <c r="T8" i="1" a="1"/>
  <c r="T8" i="1" s="1"/>
  <c r="X8" i="1" a="1"/>
  <c r="X8" i="1" s="1"/>
  <c r="Z8" i="1" a="1"/>
  <c r="Z8" i="1" s="1"/>
  <c r="AJ8" i="1" s="1"/>
  <c r="B8" i="1" a="1"/>
  <c r="B8" i="1" s="1"/>
  <c r="I8" i="1" a="1"/>
  <c r="I8" i="1" s="1"/>
  <c r="M8" i="1" a="1"/>
  <c r="M8" i="1" s="1"/>
  <c r="Q8" i="1" a="1"/>
  <c r="Q8" i="1" s="1"/>
  <c r="U8" i="1" a="1"/>
  <c r="U8" i="1" s="1"/>
  <c r="Y8" i="1" a="1"/>
  <c r="Y8" i="1" s="1"/>
  <c r="W8" i="1" a="1"/>
  <c r="W8" i="1" s="1"/>
  <c r="S8" i="1" a="1"/>
  <c r="S8" i="1" s="1"/>
  <c r="O8" i="1" a="1"/>
  <c r="O8" i="1" s="1"/>
  <c r="AF8" i="1" s="1"/>
  <c r="K8" i="1" a="1"/>
  <c r="K8" i="1" s="1"/>
  <c r="D8" i="1" a="1"/>
  <c r="D8" i="1" s="1"/>
  <c r="F8" i="1" a="1"/>
  <c r="F8" i="1" s="1"/>
  <c r="AC8" i="1" s="1"/>
  <c r="AI8" i="1"/>
  <c r="AE8" i="1"/>
  <c r="V8" i="1" a="1"/>
  <c r="V8" i="1" s="1"/>
  <c r="R8" i="1" a="1"/>
  <c r="R8" i="1" s="1"/>
  <c r="AG8" i="1" s="1"/>
  <c r="N8" i="1" a="1"/>
  <c r="N8" i="1" s="1"/>
  <c r="J8" i="1" a="1"/>
  <c r="J8" i="1" s="1"/>
  <c r="C8" i="1" a="1"/>
  <c r="C8" i="1" s="1"/>
  <c r="AB8" i="1" s="1"/>
  <c r="E8" i="1" a="1"/>
  <c r="E8" i="1" s="1"/>
  <c r="AH8" i="1"/>
  <c r="AD8" i="1"/>
  <c r="Y7" i="1" a="1"/>
  <c r="Y7" i="1" s="1"/>
  <c r="U7" i="1" a="1"/>
  <c r="U7" i="1" s="1"/>
  <c r="Q7" i="1" a="1"/>
  <c r="Q7" i="1" s="1"/>
  <c r="M7" i="1" a="1"/>
  <c r="M7" i="1" s="1"/>
  <c r="I7" i="1" a="1"/>
  <c r="I7" i="1" s="1"/>
  <c r="B7" i="1" a="1"/>
  <c r="B7" i="1" s="1"/>
  <c r="G7" i="1" a="1"/>
  <c r="G7" i="1" s="1"/>
  <c r="Z7" i="1" a="1"/>
  <c r="Z7" i="1" s="1"/>
  <c r="X7" i="1" a="1"/>
  <c r="X7" i="1" s="1"/>
  <c r="T7" i="1" a="1"/>
  <c r="T7" i="1" s="1"/>
  <c r="P7" i="1" a="1"/>
  <c r="P7" i="1" s="1"/>
  <c r="L7" i="1" a="1"/>
  <c r="L7" i="1" s="1"/>
  <c r="H7" i="1" a="1"/>
  <c r="H7" i="1" s="1"/>
  <c r="F7" i="1" a="1"/>
  <c r="F7" i="1" s="1"/>
  <c r="W7" i="1" a="1"/>
  <c r="W7" i="1" s="1"/>
  <c r="S7" i="1" a="1"/>
  <c r="S7" i="1" s="1"/>
  <c r="O7" i="1" a="1"/>
  <c r="O7" i="1" s="1"/>
  <c r="AF7" i="1" s="1"/>
  <c r="K7" i="1" a="1"/>
  <c r="K7" i="1" s="1"/>
  <c r="D7" i="1" a="1"/>
  <c r="D7" i="1" s="1"/>
  <c r="E7" i="1" a="1"/>
  <c r="E7" i="1" s="1"/>
  <c r="AJ7" i="1"/>
  <c r="V7" i="1" a="1"/>
  <c r="V7" i="1" s="1"/>
  <c r="AH7" i="1" s="1"/>
  <c r="R7" i="1" a="1"/>
  <c r="R7" i="1" s="1"/>
  <c r="AG7" i="1" s="1"/>
  <c r="N7" i="1" a="1"/>
  <c r="N7" i="1" s="1"/>
  <c r="J7" i="1" a="1"/>
  <c r="J7" i="1" s="1"/>
  <c r="C7" i="1" a="1"/>
  <c r="C7" i="1" s="1"/>
  <c r="AB7" i="1" s="1"/>
  <c r="AI7" i="1"/>
  <c r="AE7" i="1"/>
  <c r="AC7" i="1"/>
  <c r="Y6" i="1" a="1"/>
  <c r="Y6" i="1" s="1"/>
  <c r="U6" i="1" a="1"/>
  <c r="U6" i="1" s="1"/>
  <c r="Q6" i="1" a="1"/>
  <c r="Q6" i="1" s="1"/>
  <c r="M6" i="1" a="1"/>
  <c r="M6" i="1" s="1"/>
  <c r="I6" i="1" a="1"/>
  <c r="I6" i="1" s="1"/>
  <c r="B6" i="1" a="1"/>
  <c r="B6" i="1" s="1"/>
  <c r="F6" i="1" a="1"/>
  <c r="F6" i="1" s="1"/>
  <c r="X6" i="1" a="1"/>
  <c r="X6" i="1" s="1"/>
  <c r="T6" i="1" a="1"/>
  <c r="T6" i="1" s="1"/>
  <c r="P6" i="1" a="1"/>
  <c r="P6" i="1" s="1"/>
  <c r="L6" i="1" a="1"/>
  <c r="L6" i="1" s="1"/>
  <c r="H6" i="1" a="1"/>
  <c r="H6" i="1" s="1"/>
  <c r="E6" i="1" a="1"/>
  <c r="E6" i="1" s="1"/>
  <c r="Z5" i="1" a="1"/>
  <c r="Z5" i="1" s="1"/>
  <c r="Z3" i="1" a="1"/>
  <c r="Z3" i="1" s="1"/>
  <c r="W6" i="1" a="1"/>
  <c r="W6" i="1" s="1"/>
  <c r="S6" i="1" a="1"/>
  <c r="S6" i="1" s="1"/>
  <c r="O6" i="1" a="1"/>
  <c r="O6" i="1" s="1"/>
  <c r="AF6" i="1" s="1"/>
  <c r="K6" i="1" a="1"/>
  <c r="K6" i="1" s="1"/>
  <c r="D6" i="1" a="1"/>
  <c r="D6" i="1" s="1"/>
  <c r="V6" i="1" a="1"/>
  <c r="V6" i="1" s="1"/>
  <c r="AH6" i="1" s="1"/>
  <c r="R6" i="1" a="1"/>
  <c r="R6" i="1" s="1"/>
  <c r="N6" i="1" a="1"/>
  <c r="N6" i="1" s="1"/>
  <c r="J6" i="1" a="1"/>
  <c r="J6" i="1" s="1"/>
  <c r="AD6" i="1" s="1"/>
  <c r="C6" i="1" a="1"/>
  <c r="C6" i="1" s="1"/>
  <c r="AB6" i="1" s="1"/>
  <c r="G6" i="1" a="1"/>
  <c r="G6" i="1" s="1"/>
  <c r="AC6" i="1" s="1"/>
  <c r="Z6" i="1" a="1"/>
  <c r="Z6" i="1" s="1"/>
  <c r="AJ6" i="1" s="1"/>
  <c r="F5" i="1" a="1"/>
  <c r="F5" i="1" s="1"/>
  <c r="C5" i="1" a="1"/>
  <c r="C5" i="1" s="1"/>
  <c r="J5" i="1" a="1"/>
  <c r="J5" i="1" s="1"/>
  <c r="N5" i="1" a="1"/>
  <c r="N5" i="1" s="1"/>
  <c r="R5" i="1" a="1"/>
  <c r="R5" i="1" s="1"/>
  <c r="V5" i="1" a="1"/>
  <c r="V5" i="1" s="1"/>
  <c r="G5" i="1" a="1"/>
  <c r="G5" i="1" s="1"/>
  <c r="D5" i="1" a="1"/>
  <c r="D5" i="1" s="1"/>
  <c r="K5" i="1" a="1"/>
  <c r="K5" i="1" s="1"/>
  <c r="O5" i="1" a="1"/>
  <c r="O5" i="1" s="1"/>
  <c r="S5" i="1" a="1"/>
  <c r="S5" i="1" s="1"/>
  <c r="W5" i="1" a="1"/>
  <c r="W5" i="1" s="1"/>
  <c r="Y5" i="1" a="1"/>
  <c r="Y5" i="1" s="1"/>
  <c r="U5" i="1" a="1"/>
  <c r="U5" i="1" s="1"/>
  <c r="AH5" i="1" s="1"/>
  <c r="Q5" i="1" a="1"/>
  <c r="Q5" i="1" s="1"/>
  <c r="M5" i="1" a="1"/>
  <c r="M5" i="1" s="1"/>
  <c r="I5" i="1" a="1"/>
  <c r="I5" i="1" s="1"/>
  <c r="AD5" i="1" s="1"/>
  <c r="B5" i="1" a="1"/>
  <c r="B5" i="1" s="1"/>
  <c r="E5" i="1" a="1"/>
  <c r="E5" i="1" s="1"/>
  <c r="AJ5" i="1"/>
  <c r="X5" i="1" a="1"/>
  <c r="X5" i="1" s="1"/>
  <c r="AI5" i="1" s="1"/>
  <c r="T5" i="1" a="1"/>
  <c r="T5" i="1" s="1"/>
  <c r="P5" i="1" a="1"/>
  <c r="P5" i="1" s="1"/>
  <c r="L5" i="1" a="1"/>
  <c r="L5" i="1" s="1"/>
  <c r="H5" i="1" a="1"/>
  <c r="H5" i="1" s="1"/>
  <c r="F4" i="1" a="1"/>
  <c r="F4" i="1" s="1"/>
  <c r="B4" i="1" a="1"/>
  <c r="B4" i="1" s="1"/>
  <c r="I4" i="1" a="1"/>
  <c r="I4" i="1" s="1"/>
  <c r="M4" i="1" a="1"/>
  <c r="M4" i="1" s="1"/>
  <c r="Q4" i="1" a="1"/>
  <c r="Q4" i="1" s="1"/>
  <c r="U4" i="1" a="1"/>
  <c r="U4" i="1" s="1"/>
  <c r="Y4" i="1" a="1"/>
  <c r="Y4" i="1" s="1"/>
  <c r="X4" i="1" a="1"/>
  <c r="X4" i="1" s="1"/>
  <c r="AI4" i="1" s="1"/>
  <c r="T4" i="1" a="1"/>
  <c r="T4" i="1" s="1"/>
  <c r="P4" i="1" a="1"/>
  <c r="P4" i="1" s="1"/>
  <c r="L4" i="1" a="1"/>
  <c r="L4" i="1" s="1"/>
  <c r="H4" i="1" a="1"/>
  <c r="H4" i="1" s="1"/>
  <c r="E4" i="1" a="1"/>
  <c r="E4" i="1" s="1"/>
  <c r="W4" i="1" a="1"/>
  <c r="W4" i="1" s="1"/>
  <c r="S4" i="1" a="1"/>
  <c r="S4" i="1" s="1"/>
  <c r="O4" i="1" a="1"/>
  <c r="O4" i="1" s="1"/>
  <c r="K4" i="1" a="1"/>
  <c r="K4" i="1" s="1"/>
  <c r="D4" i="1" a="1"/>
  <c r="D4" i="1" s="1"/>
  <c r="AJ4" i="1"/>
  <c r="V4" i="1" a="1"/>
  <c r="V4" i="1" s="1"/>
  <c r="R4" i="1" a="1"/>
  <c r="R4" i="1" s="1"/>
  <c r="N4" i="1" a="1"/>
  <c r="N4" i="1" s="1"/>
  <c r="J4" i="1" a="1"/>
  <c r="J4" i="1" s="1"/>
  <c r="C4" i="1" a="1"/>
  <c r="C4" i="1" s="1"/>
  <c r="G4" i="1" a="1"/>
  <c r="G4" i="1" s="1"/>
  <c r="AC4" i="1" s="1"/>
  <c r="AE4" i="1"/>
  <c r="G3" i="1" a="1"/>
  <c r="G3" i="1" s="1"/>
  <c r="AJ3" i="1"/>
  <c r="F3" i="1" a="1"/>
  <c r="F3" i="1" s="1"/>
  <c r="E3" i="1" a="1"/>
  <c r="E3" i="1" s="1"/>
  <c r="A2" i="1"/>
  <c r="Z2" i="1" s="1" a="1"/>
  <c r="Z2" i="1" s="1"/>
  <c r="B3" i="1" a="1"/>
  <c r="B3" i="1" s="1"/>
  <c r="H3" i="1" a="1"/>
  <c r="H3" i="1" s="1"/>
  <c r="K3" i="1" a="1"/>
  <c r="K3" i="1" s="1"/>
  <c r="P3" i="1" a="1"/>
  <c r="P3" i="1" s="1"/>
  <c r="S3" i="1" a="1"/>
  <c r="S3" i="1" s="1"/>
  <c r="X3" i="1" a="1"/>
  <c r="X3" i="1" s="1"/>
  <c r="C3" i="1" a="1"/>
  <c r="C3" i="1" s="1"/>
  <c r="I3" i="1" a="1"/>
  <c r="I3" i="1" s="1"/>
  <c r="N3" i="1" a="1"/>
  <c r="N3" i="1" s="1"/>
  <c r="Q3" i="1" a="1"/>
  <c r="Q3" i="1" s="1"/>
  <c r="V3" i="1" a="1"/>
  <c r="V3" i="1" s="1"/>
  <c r="Y3" i="1" a="1"/>
  <c r="Y3" i="1" s="1"/>
  <c r="L3" i="1" a="1"/>
  <c r="L3" i="1" s="1"/>
  <c r="O3" i="1" a="1"/>
  <c r="O3" i="1" s="1"/>
  <c r="T3" i="1" a="1"/>
  <c r="T3" i="1" s="1"/>
  <c r="W3" i="1" a="1"/>
  <c r="W3" i="1" s="1"/>
  <c r="D3" i="1" a="1"/>
  <c r="D3" i="1" s="1"/>
  <c r="J3" i="1" a="1"/>
  <c r="J3" i="1" s="1"/>
  <c r="M3" i="1" a="1"/>
  <c r="M3" i="1" s="1"/>
  <c r="R3" i="1" a="1"/>
  <c r="R3" i="1" s="1"/>
  <c r="U3" i="1" a="1"/>
  <c r="U3" i="1" s="1"/>
  <c r="AH3" i="1" s="1"/>
  <c r="AG3" i="1" l="1"/>
  <c r="AE6" i="1"/>
  <c r="AA8" i="1"/>
  <c r="AF5" i="1"/>
  <c r="AG6" i="1"/>
  <c r="AD7" i="1"/>
  <c r="AA7" i="1" s="1"/>
  <c r="AI6" i="1"/>
  <c r="AA6" i="1" s="1"/>
  <c r="AG5" i="1"/>
  <c r="AC5" i="1"/>
  <c r="AF3" i="1"/>
  <c r="AC3" i="1"/>
  <c r="AB5" i="1"/>
  <c r="AE5" i="1"/>
  <c r="AI3" i="1"/>
  <c r="AH4" i="1"/>
  <c r="AE3" i="1"/>
  <c r="AG4" i="1"/>
  <c r="AD3" i="1"/>
  <c r="AB4" i="1"/>
  <c r="AF4" i="1"/>
  <c r="AB3" i="1"/>
  <c r="AD4" i="1"/>
  <c r="AJ2" i="1"/>
  <c r="F2" i="1" a="1"/>
  <c r="F2" i="1" s="1"/>
  <c r="G2" i="1" a="1"/>
  <c r="G2" i="1" s="1"/>
  <c r="E2" i="1" a="1"/>
  <c r="E2" i="1" s="1"/>
  <c r="J2" i="1" a="1"/>
  <c r="J2" i="1" s="1"/>
  <c r="N2" i="1" a="1"/>
  <c r="N2" i="1" s="1"/>
  <c r="R2" i="1" a="1"/>
  <c r="R2" i="1" s="1"/>
  <c r="V2" i="1" a="1"/>
  <c r="V2" i="1" s="1"/>
  <c r="B2" i="1" a="1"/>
  <c r="B2" i="1" s="1"/>
  <c r="K2" i="1" a="1"/>
  <c r="K2" i="1" s="1"/>
  <c r="O2" i="1" a="1"/>
  <c r="O2" i="1" s="1"/>
  <c r="S2" i="1" a="1"/>
  <c r="S2" i="1" s="1"/>
  <c r="W2" i="1" a="1"/>
  <c r="W2" i="1" s="1"/>
  <c r="C2" i="1" a="1"/>
  <c r="C2" i="1" s="1"/>
  <c r="H2" i="1" a="1"/>
  <c r="H2" i="1" s="1"/>
  <c r="L2" i="1" a="1"/>
  <c r="L2" i="1" s="1"/>
  <c r="P2" i="1" a="1"/>
  <c r="P2" i="1" s="1"/>
  <c r="T2" i="1" a="1"/>
  <c r="T2" i="1" s="1"/>
  <c r="X2" i="1" a="1"/>
  <c r="X2" i="1" s="1"/>
  <c r="D2" i="1" a="1"/>
  <c r="D2" i="1" s="1"/>
  <c r="I2" i="1" a="1"/>
  <c r="I2" i="1" s="1"/>
  <c r="AD2" i="1" s="1"/>
  <c r="M2" i="1" a="1"/>
  <c r="M2" i="1" s="1"/>
  <c r="Q2" i="1" a="1"/>
  <c r="Q2" i="1" s="1"/>
  <c r="U2" i="1" a="1"/>
  <c r="U2" i="1" s="1"/>
  <c r="AH2" i="1" s="1"/>
  <c r="Y2" i="1" a="1"/>
  <c r="Y2" i="1" s="1"/>
  <c r="AA3" i="1" l="1"/>
  <c r="AA5" i="1"/>
  <c r="AB2" i="1"/>
  <c r="AC2" i="1"/>
  <c r="AA2" i="1" s="1"/>
  <c r="AE2" i="1"/>
  <c r="AA4" i="1"/>
  <c r="AI2" i="1"/>
  <c r="AF2" i="1"/>
  <c r="AG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<sst xmlns="http://schemas.openxmlformats.org/spreadsheetml/2006/main" count="59" uniqueCount="51">
  <si>
    <t>Temperatura</t>
  </si>
  <si>
    <t>Humidade</t>
  </si>
  <si>
    <t>AcY</t>
  </si>
  <si>
    <t>AcZ</t>
  </si>
  <si>
    <t>ID</t>
  </si>
  <si>
    <t>Open</t>
  </si>
  <si>
    <t>AcX</t>
  </si>
  <si>
    <t>TempMed</t>
  </si>
  <si>
    <t>TempMax</t>
  </si>
  <si>
    <t>TempMin</t>
  </si>
  <si>
    <t>HumMax</t>
  </si>
  <si>
    <t>HumMed</t>
  </si>
  <si>
    <t>Min</t>
  </si>
  <si>
    <t>HumMin</t>
  </si>
  <si>
    <t>AcXMed</t>
  </si>
  <si>
    <t>AcXMax</t>
  </si>
  <si>
    <t>AcXMin</t>
  </si>
  <si>
    <t>AcYMed</t>
  </si>
  <si>
    <t>AcZMax</t>
  </si>
  <si>
    <t>AcYMax</t>
  </si>
  <si>
    <t>AcYMin</t>
  </si>
  <si>
    <t>AcZMed</t>
  </si>
  <si>
    <t>AcZMin</t>
  </si>
  <si>
    <t>WasOpen</t>
  </si>
  <si>
    <t xml:space="preserve">Max </t>
  </si>
  <si>
    <t>Temp</t>
  </si>
  <si>
    <t>Hum</t>
  </si>
  <si>
    <t>GyX</t>
  </si>
  <si>
    <t>GyY</t>
  </si>
  <si>
    <t>GyZ</t>
  </si>
  <si>
    <t>GyXMed</t>
  </si>
  <si>
    <t>GyXMax</t>
  </si>
  <si>
    <t>GyYMed</t>
  </si>
  <si>
    <t>GyYMax</t>
  </si>
  <si>
    <t>GyYMin</t>
  </si>
  <si>
    <t>GyZMed</t>
  </si>
  <si>
    <t>GyZMax</t>
  </si>
  <si>
    <t>GyZMin</t>
  </si>
  <si>
    <t>Succesful</t>
  </si>
  <si>
    <t>TempSucc</t>
  </si>
  <si>
    <t>HumSucc</t>
  </si>
  <si>
    <t>AcXSucc</t>
  </si>
  <si>
    <t>AcYSucc</t>
  </si>
  <si>
    <t>AcZSucc</t>
  </si>
  <si>
    <t>GyXSucc</t>
  </si>
  <si>
    <t>GyYSucc</t>
  </si>
  <si>
    <t>GyZSucc</t>
  </si>
  <si>
    <t>OpSucc</t>
  </si>
  <si>
    <t>Description</t>
  </si>
  <si>
    <t>Visualize Data</t>
  </si>
  <si>
    <t>UpdateDatabase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</si>
</sst>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0" borderId="0" xfId="0" applyNumberFormat="1"/>
    <xf numFmtId="0" fontId="1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2" fillId="0" borderId="0" xfId="0" applyNumberFormat="1" applyFont="1"/>
    <xf numFmtId="0" fontId="3" fillId="0" borderId="0" xfId="0" applyNumberFormat="1" applyFont="1"/>
  </cellXfs>
  <cellStyles count="1"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GyY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GyY</c:v>
          </c:tx>
          <c:marker>
            <c:symbol val="none"/>
          </c:marker>
          <c:xVal>
            <c:numLit>
              <c:formatCode>General</c:formatCode>
              <c:ptCount val="491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</c:numLit>
          </c:xVal>
          <c:yVal>
            <c:numRef>
              <c:f>SimpleData!$H$30:$H$520</c:f>
              <c:numCache>
                <c:formatCode>General</c:formatCode>
                <c:ptCount val="491"/>
                <c:pt idx="0">
                  <c:v>1047</c:v>
                </c:pt>
                <c:pt idx="1">
                  <c:v>760</c:v>
                </c:pt>
                <c:pt idx="2">
                  <c:v>320</c:v>
                </c:pt>
                <c:pt idx="3">
                  <c:v>283</c:v>
                </c:pt>
                <c:pt idx="4">
                  <c:v>313</c:v>
                </c:pt>
                <c:pt idx="5">
                  <c:v>278</c:v>
                </c:pt>
                <c:pt idx="6">
                  <c:v>285</c:v>
                </c:pt>
                <c:pt idx="7">
                  <c:v>315</c:v>
                </c:pt>
                <c:pt idx="8">
                  <c:v>262</c:v>
                </c:pt>
                <c:pt idx="9">
                  <c:v>868</c:v>
                </c:pt>
                <c:pt idx="10">
                  <c:v>469</c:v>
                </c:pt>
                <c:pt idx="11">
                  <c:v>425</c:v>
                </c:pt>
                <c:pt idx="12">
                  <c:v>321</c:v>
                </c:pt>
                <c:pt idx="13">
                  <c:v>246</c:v>
                </c:pt>
                <c:pt idx="14">
                  <c:v>557</c:v>
                </c:pt>
                <c:pt idx="15">
                  <c:v>357</c:v>
                </c:pt>
                <c:pt idx="16">
                  <c:v>397</c:v>
                </c:pt>
                <c:pt idx="17">
                  <c:v>298</c:v>
                </c:pt>
                <c:pt idx="18">
                  <c:v>297</c:v>
                </c:pt>
                <c:pt idx="19">
                  <c:v>322</c:v>
                </c:pt>
                <c:pt idx="20">
                  <c:v>304</c:v>
                </c:pt>
                <c:pt idx="21">
                  <c:v>336</c:v>
                </c:pt>
                <c:pt idx="22">
                  <c:v>305</c:v>
                </c:pt>
                <c:pt idx="23">
                  <c:v>418</c:v>
                </c:pt>
                <c:pt idx="24">
                  <c:v>237</c:v>
                </c:pt>
                <c:pt idx="25">
                  <c:v>262</c:v>
                </c:pt>
                <c:pt idx="26">
                  <c:v>743</c:v>
                </c:pt>
                <c:pt idx="27">
                  <c:v>372</c:v>
                </c:pt>
                <c:pt idx="28">
                  <c:v>476</c:v>
                </c:pt>
                <c:pt idx="29">
                  <c:v>361</c:v>
                </c:pt>
                <c:pt idx="30">
                  <c:v>334</c:v>
                </c:pt>
                <c:pt idx="31">
                  <c:v>547</c:v>
                </c:pt>
                <c:pt idx="32">
                  <c:v>265</c:v>
                </c:pt>
                <c:pt idx="33">
                  <c:v>277</c:v>
                </c:pt>
                <c:pt idx="34">
                  <c:v>280</c:v>
                </c:pt>
                <c:pt idx="35">
                  <c:v>616</c:v>
                </c:pt>
                <c:pt idx="36">
                  <c:v>320</c:v>
                </c:pt>
                <c:pt idx="37">
                  <c:v>382</c:v>
                </c:pt>
                <c:pt idx="38">
                  <c:v>291</c:v>
                </c:pt>
                <c:pt idx="39">
                  <c:v>265</c:v>
                </c:pt>
                <c:pt idx="40">
                  <c:v>1921</c:v>
                </c:pt>
                <c:pt idx="41">
                  <c:v>348</c:v>
                </c:pt>
                <c:pt idx="42">
                  <c:v>429</c:v>
                </c:pt>
                <c:pt idx="43">
                  <c:v>282</c:v>
                </c:pt>
                <c:pt idx="44">
                  <c:v>296</c:v>
                </c:pt>
                <c:pt idx="45">
                  <c:v>266</c:v>
                </c:pt>
                <c:pt idx="46">
                  <c:v>266</c:v>
                </c:pt>
                <c:pt idx="47">
                  <c:v>285</c:v>
                </c:pt>
                <c:pt idx="48">
                  <c:v>260</c:v>
                </c:pt>
                <c:pt idx="49">
                  <c:v>276</c:v>
                </c:pt>
                <c:pt idx="50">
                  <c:v>260</c:v>
                </c:pt>
                <c:pt idx="51">
                  <c:v>998</c:v>
                </c:pt>
                <c:pt idx="52">
                  <c:v>524</c:v>
                </c:pt>
                <c:pt idx="53">
                  <c:v>354</c:v>
                </c:pt>
                <c:pt idx="54">
                  <c:v>-974</c:v>
                </c:pt>
                <c:pt idx="55">
                  <c:v>331</c:v>
                </c:pt>
                <c:pt idx="56">
                  <c:v>253</c:v>
                </c:pt>
                <c:pt idx="57">
                  <c:v>265</c:v>
                </c:pt>
                <c:pt idx="58">
                  <c:v>329</c:v>
                </c:pt>
                <c:pt idx="59">
                  <c:v>319</c:v>
                </c:pt>
                <c:pt idx="60">
                  <c:v>293</c:v>
                </c:pt>
                <c:pt idx="61">
                  <c:v>498</c:v>
                </c:pt>
                <c:pt idx="62">
                  <c:v>289</c:v>
                </c:pt>
                <c:pt idx="63">
                  <c:v>935</c:v>
                </c:pt>
                <c:pt idx="64">
                  <c:v>-268</c:v>
                </c:pt>
                <c:pt idx="65">
                  <c:v>280</c:v>
                </c:pt>
                <c:pt idx="66">
                  <c:v>1020</c:v>
                </c:pt>
                <c:pt idx="67">
                  <c:v>-616</c:v>
                </c:pt>
                <c:pt idx="68">
                  <c:v>498</c:v>
                </c:pt>
                <c:pt idx="69">
                  <c:v>442</c:v>
                </c:pt>
                <c:pt idx="70">
                  <c:v>381</c:v>
                </c:pt>
                <c:pt idx="71">
                  <c:v>279</c:v>
                </c:pt>
                <c:pt idx="72">
                  <c:v>317</c:v>
                </c:pt>
                <c:pt idx="73">
                  <c:v>364</c:v>
                </c:pt>
                <c:pt idx="74">
                  <c:v>326</c:v>
                </c:pt>
                <c:pt idx="75">
                  <c:v>255</c:v>
                </c:pt>
                <c:pt idx="76">
                  <c:v>423</c:v>
                </c:pt>
                <c:pt idx="77">
                  <c:v>722</c:v>
                </c:pt>
                <c:pt idx="78">
                  <c:v>391</c:v>
                </c:pt>
                <c:pt idx="79">
                  <c:v>280</c:v>
                </c:pt>
                <c:pt idx="80">
                  <c:v>383</c:v>
                </c:pt>
                <c:pt idx="81">
                  <c:v>632</c:v>
                </c:pt>
                <c:pt idx="82">
                  <c:v>714</c:v>
                </c:pt>
                <c:pt idx="83">
                  <c:v>897</c:v>
                </c:pt>
                <c:pt idx="84">
                  <c:v>666</c:v>
                </c:pt>
                <c:pt idx="85">
                  <c:v>395</c:v>
                </c:pt>
                <c:pt idx="86">
                  <c:v>295</c:v>
                </c:pt>
                <c:pt idx="87">
                  <c:v>321</c:v>
                </c:pt>
                <c:pt idx="88">
                  <c:v>491</c:v>
                </c:pt>
                <c:pt idx="89">
                  <c:v>836</c:v>
                </c:pt>
                <c:pt idx="90">
                  <c:v>509</c:v>
                </c:pt>
                <c:pt idx="91">
                  <c:v>462</c:v>
                </c:pt>
                <c:pt idx="92">
                  <c:v>717</c:v>
                </c:pt>
                <c:pt idx="93">
                  <c:v>347</c:v>
                </c:pt>
                <c:pt idx="94">
                  <c:v>303</c:v>
                </c:pt>
                <c:pt idx="95">
                  <c:v>342</c:v>
                </c:pt>
                <c:pt idx="96">
                  <c:v>314</c:v>
                </c:pt>
                <c:pt idx="97">
                  <c:v>288</c:v>
                </c:pt>
                <c:pt idx="98">
                  <c:v>292</c:v>
                </c:pt>
                <c:pt idx="99">
                  <c:v>1374</c:v>
                </c:pt>
                <c:pt idx="100">
                  <c:v>-647</c:v>
                </c:pt>
                <c:pt idx="101">
                  <c:v>278</c:v>
                </c:pt>
                <c:pt idx="102">
                  <c:v>529</c:v>
                </c:pt>
                <c:pt idx="103">
                  <c:v>270</c:v>
                </c:pt>
                <c:pt idx="104">
                  <c:v>256</c:v>
                </c:pt>
                <c:pt idx="105">
                  <c:v>276</c:v>
                </c:pt>
                <c:pt idx="106">
                  <c:v>353</c:v>
                </c:pt>
                <c:pt idx="107">
                  <c:v>397</c:v>
                </c:pt>
                <c:pt idx="108">
                  <c:v>279</c:v>
                </c:pt>
                <c:pt idx="109">
                  <c:v>297</c:v>
                </c:pt>
                <c:pt idx="110">
                  <c:v>286</c:v>
                </c:pt>
                <c:pt idx="111">
                  <c:v>310</c:v>
                </c:pt>
                <c:pt idx="112">
                  <c:v>337</c:v>
                </c:pt>
                <c:pt idx="113">
                  <c:v>261</c:v>
                </c:pt>
                <c:pt idx="114">
                  <c:v>216</c:v>
                </c:pt>
                <c:pt idx="115">
                  <c:v>358</c:v>
                </c:pt>
                <c:pt idx="116">
                  <c:v>370</c:v>
                </c:pt>
                <c:pt idx="117">
                  <c:v>410</c:v>
                </c:pt>
                <c:pt idx="118">
                  <c:v>287</c:v>
                </c:pt>
                <c:pt idx="119">
                  <c:v>276</c:v>
                </c:pt>
                <c:pt idx="120">
                  <c:v>308</c:v>
                </c:pt>
                <c:pt idx="121">
                  <c:v>231</c:v>
                </c:pt>
                <c:pt idx="122">
                  <c:v>346</c:v>
                </c:pt>
                <c:pt idx="123">
                  <c:v>704</c:v>
                </c:pt>
                <c:pt idx="124">
                  <c:v>371</c:v>
                </c:pt>
                <c:pt idx="125">
                  <c:v>316</c:v>
                </c:pt>
                <c:pt idx="126">
                  <c:v>778</c:v>
                </c:pt>
                <c:pt idx="127">
                  <c:v>579</c:v>
                </c:pt>
                <c:pt idx="128">
                  <c:v>268</c:v>
                </c:pt>
                <c:pt idx="129">
                  <c:v>309</c:v>
                </c:pt>
                <c:pt idx="130">
                  <c:v>269</c:v>
                </c:pt>
                <c:pt idx="131">
                  <c:v>310</c:v>
                </c:pt>
                <c:pt idx="132">
                  <c:v>376</c:v>
                </c:pt>
                <c:pt idx="133">
                  <c:v>250</c:v>
                </c:pt>
                <c:pt idx="134">
                  <c:v>325</c:v>
                </c:pt>
                <c:pt idx="135">
                  <c:v>327</c:v>
                </c:pt>
                <c:pt idx="136">
                  <c:v>286</c:v>
                </c:pt>
                <c:pt idx="137">
                  <c:v>929</c:v>
                </c:pt>
                <c:pt idx="138">
                  <c:v>395</c:v>
                </c:pt>
                <c:pt idx="139">
                  <c:v>218</c:v>
                </c:pt>
                <c:pt idx="140">
                  <c:v>522</c:v>
                </c:pt>
                <c:pt idx="141">
                  <c:v>652</c:v>
                </c:pt>
                <c:pt idx="142">
                  <c:v>300</c:v>
                </c:pt>
                <c:pt idx="143">
                  <c:v>317</c:v>
                </c:pt>
                <c:pt idx="144">
                  <c:v>468</c:v>
                </c:pt>
                <c:pt idx="145">
                  <c:v>595</c:v>
                </c:pt>
                <c:pt idx="146">
                  <c:v>527</c:v>
                </c:pt>
                <c:pt idx="147">
                  <c:v>334</c:v>
                </c:pt>
                <c:pt idx="148">
                  <c:v>699</c:v>
                </c:pt>
                <c:pt idx="149">
                  <c:v>-544</c:v>
                </c:pt>
                <c:pt idx="150">
                  <c:v>320</c:v>
                </c:pt>
                <c:pt idx="151">
                  <c:v>248</c:v>
                </c:pt>
                <c:pt idx="152">
                  <c:v>378</c:v>
                </c:pt>
                <c:pt idx="153">
                  <c:v>609</c:v>
                </c:pt>
                <c:pt idx="154">
                  <c:v>359</c:v>
                </c:pt>
                <c:pt idx="155">
                  <c:v>455</c:v>
                </c:pt>
                <c:pt idx="156">
                  <c:v>368</c:v>
                </c:pt>
                <c:pt idx="157">
                  <c:v>335</c:v>
                </c:pt>
                <c:pt idx="158">
                  <c:v>530</c:v>
                </c:pt>
                <c:pt idx="159">
                  <c:v>532</c:v>
                </c:pt>
                <c:pt idx="160">
                  <c:v>615</c:v>
                </c:pt>
                <c:pt idx="161">
                  <c:v>621</c:v>
                </c:pt>
                <c:pt idx="162">
                  <c:v>426</c:v>
                </c:pt>
                <c:pt idx="163">
                  <c:v>252</c:v>
                </c:pt>
                <c:pt idx="164">
                  <c:v>308</c:v>
                </c:pt>
                <c:pt idx="165">
                  <c:v>314</c:v>
                </c:pt>
                <c:pt idx="166">
                  <c:v>290</c:v>
                </c:pt>
                <c:pt idx="167">
                  <c:v>414</c:v>
                </c:pt>
                <c:pt idx="168">
                  <c:v>606</c:v>
                </c:pt>
                <c:pt idx="169">
                  <c:v>357</c:v>
                </c:pt>
                <c:pt idx="170">
                  <c:v>382</c:v>
                </c:pt>
                <c:pt idx="171">
                  <c:v>383</c:v>
                </c:pt>
                <c:pt idx="172">
                  <c:v>481</c:v>
                </c:pt>
                <c:pt idx="173">
                  <c:v>256</c:v>
                </c:pt>
                <c:pt idx="174">
                  <c:v>354</c:v>
                </c:pt>
                <c:pt idx="175">
                  <c:v>438</c:v>
                </c:pt>
                <c:pt idx="176">
                  <c:v>272</c:v>
                </c:pt>
                <c:pt idx="177">
                  <c:v>335</c:v>
                </c:pt>
                <c:pt idx="178">
                  <c:v>325</c:v>
                </c:pt>
                <c:pt idx="179">
                  <c:v>362</c:v>
                </c:pt>
                <c:pt idx="180">
                  <c:v>488</c:v>
                </c:pt>
                <c:pt idx="181">
                  <c:v>281</c:v>
                </c:pt>
                <c:pt idx="182">
                  <c:v>371</c:v>
                </c:pt>
                <c:pt idx="183">
                  <c:v>294</c:v>
                </c:pt>
                <c:pt idx="184">
                  <c:v>301</c:v>
                </c:pt>
                <c:pt idx="185">
                  <c:v>383</c:v>
                </c:pt>
                <c:pt idx="186">
                  <c:v>310</c:v>
                </c:pt>
                <c:pt idx="187">
                  <c:v>395</c:v>
                </c:pt>
                <c:pt idx="188">
                  <c:v>279</c:v>
                </c:pt>
                <c:pt idx="189">
                  <c:v>310</c:v>
                </c:pt>
                <c:pt idx="190">
                  <c:v>266</c:v>
                </c:pt>
                <c:pt idx="191">
                  <c:v>285</c:v>
                </c:pt>
                <c:pt idx="192">
                  <c:v>274</c:v>
                </c:pt>
                <c:pt idx="193">
                  <c:v>362</c:v>
                </c:pt>
                <c:pt idx="194">
                  <c:v>319</c:v>
                </c:pt>
                <c:pt idx="195">
                  <c:v>274</c:v>
                </c:pt>
                <c:pt idx="196">
                  <c:v>308</c:v>
                </c:pt>
                <c:pt idx="197">
                  <c:v>274</c:v>
                </c:pt>
                <c:pt idx="198">
                  <c:v>369</c:v>
                </c:pt>
                <c:pt idx="199">
                  <c:v>283</c:v>
                </c:pt>
                <c:pt idx="200">
                  <c:v>277</c:v>
                </c:pt>
                <c:pt idx="201">
                  <c:v>279</c:v>
                </c:pt>
                <c:pt idx="202">
                  <c:v>284</c:v>
                </c:pt>
                <c:pt idx="203">
                  <c:v>252</c:v>
                </c:pt>
                <c:pt idx="204">
                  <c:v>306</c:v>
                </c:pt>
                <c:pt idx="205">
                  <c:v>326</c:v>
                </c:pt>
                <c:pt idx="206">
                  <c:v>246</c:v>
                </c:pt>
                <c:pt idx="207">
                  <c:v>256</c:v>
                </c:pt>
                <c:pt idx="208">
                  <c:v>327</c:v>
                </c:pt>
                <c:pt idx="209">
                  <c:v>267</c:v>
                </c:pt>
                <c:pt idx="210">
                  <c:v>421</c:v>
                </c:pt>
                <c:pt idx="211">
                  <c:v>494</c:v>
                </c:pt>
                <c:pt idx="212">
                  <c:v>289</c:v>
                </c:pt>
                <c:pt idx="213">
                  <c:v>365</c:v>
                </c:pt>
                <c:pt idx="214">
                  <c:v>359</c:v>
                </c:pt>
                <c:pt idx="215">
                  <c:v>1977</c:v>
                </c:pt>
                <c:pt idx="216">
                  <c:v>268</c:v>
                </c:pt>
                <c:pt idx="217">
                  <c:v>257</c:v>
                </c:pt>
                <c:pt idx="218">
                  <c:v>287</c:v>
                </c:pt>
                <c:pt idx="219">
                  <c:v>256</c:v>
                </c:pt>
                <c:pt idx="220">
                  <c:v>280</c:v>
                </c:pt>
                <c:pt idx="221">
                  <c:v>281</c:v>
                </c:pt>
                <c:pt idx="222">
                  <c:v>280</c:v>
                </c:pt>
                <c:pt idx="223">
                  <c:v>271</c:v>
                </c:pt>
                <c:pt idx="224">
                  <c:v>273</c:v>
                </c:pt>
                <c:pt idx="225">
                  <c:v>268</c:v>
                </c:pt>
                <c:pt idx="226">
                  <c:v>360</c:v>
                </c:pt>
                <c:pt idx="227">
                  <c:v>307</c:v>
                </c:pt>
                <c:pt idx="228">
                  <c:v>287</c:v>
                </c:pt>
                <c:pt idx="229">
                  <c:v>308</c:v>
                </c:pt>
                <c:pt idx="230">
                  <c:v>384</c:v>
                </c:pt>
                <c:pt idx="231">
                  <c:v>298</c:v>
                </c:pt>
                <c:pt idx="232">
                  <c:v>325</c:v>
                </c:pt>
                <c:pt idx="233">
                  <c:v>276</c:v>
                </c:pt>
                <c:pt idx="234">
                  <c:v>281</c:v>
                </c:pt>
                <c:pt idx="235">
                  <c:v>255</c:v>
                </c:pt>
                <c:pt idx="236">
                  <c:v>265</c:v>
                </c:pt>
                <c:pt idx="237">
                  <c:v>287</c:v>
                </c:pt>
                <c:pt idx="238">
                  <c:v>302</c:v>
                </c:pt>
                <c:pt idx="239">
                  <c:v>233</c:v>
                </c:pt>
                <c:pt idx="240">
                  <c:v>299</c:v>
                </c:pt>
                <c:pt idx="241">
                  <c:v>975</c:v>
                </c:pt>
                <c:pt idx="242">
                  <c:v>642</c:v>
                </c:pt>
                <c:pt idx="243">
                  <c:v>405</c:v>
                </c:pt>
                <c:pt idx="244">
                  <c:v>337</c:v>
                </c:pt>
                <c:pt idx="245">
                  <c:v>273</c:v>
                </c:pt>
                <c:pt idx="246">
                  <c:v>263</c:v>
                </c:pt>
                <c:pt idx="247">
                  <c:v>267</c:v>
                </c:pt>
                <c:pt idx="248">
                  <c:v>-810</c:v>
                </c:pt>
                <c:pt idx="249">
                  <c:v>1431</c:v>
                </c:pt>
                <c:pt idx="250">
                  <c:v>461</c:v>
                </c:pt>
                <c:pt idx="251">
                  <c:v>-416</c:v>
                </c:pt>
                <c:pt idx="252">
                  <c:v>889</c:v>
                </c:pt>
                <c:pt idx="253">
                  <c:v>273</c:v>
                </c:pt>
                <c:pt idx="254">
                  <c:v>289</c:v>
                </c:pt>
                <c:pt idx="255">
                  <c:v>878</c:v>
                </c:pt>
                <c:pt idx="256">
                  <c:v>426</c:v>
                </c:pt>
                <c:pt idx="257">
                  <c:v>361</c:v>
                </c:pt>
                <c:pt idx="258">
                  <c:v>400</c:v>
                </c:pt>
                <c:pt idx="259">
                  <c:v>309</c:v>
                </c:pt>
                <c:pt idx="260">
                  <c:v>828</c:v>
                </c:pt>
                <c:pt idx="261">
                  <c:v>356</c:v>
                </c:pt>
                <c:pt idx="262">
                  <c:v>248</c:v>
                </c:pt>
                <c:pt idx="263">
                  <c:v>270</c:v>
                </c:pt>
                <c:pt idx="264">
                  <c:v>263</c:v>
                </c:pt>
                <c:pt idx="265">
                  <c:v>270</c:v>
                </c:pt>
                <c:pt idx="266">
                  <c:v>325</c:v>
                </c:pt>
                <c:pt idx="267">
                  <c:v>292</c:v>
                </c:pt>
                <c:pt idx="268">
                  <c:v>486</c:v>
                </c:pt>
                <c:pt idx="269">
                  <c:v>325</c:v>
                </c:pt>
                <c:pt idx="270">
                  <c:v>351</c:v>
                </c:pt>
                <c:pt idx="271">
                  <c:v>270</c:v>
                </c:pt>
                <c:pt idx="272">
                  <c:v>275</c:v>
                </c:pt>
                <c:pt idx="273">
                  <c:v>265</c:v>
                </c:pt>
                <c:pt idx="274">
                  <c:v>264</c:v>
                </c:pt>
                <c:pt idx="275">
                  <c:v>429</c:v>
                </c:pt>
                <c:pt idx="276">
                  <c:v>322</c:v>
                </c:pt>
                <c:pt idx="277">
                  <c:v>521</c:v>
                </c:pt>
                <c:pt idx="278">
                  <c:v>261</c:v>
                </c:pt>
                <c:pt idx="279">
                  <c:v>315</c:v>
                </c:pt>
                <c:pt idx="280">
                  <c:v>398</c:v>
                </c:pt>
                <c:pt idx="281">
                  <c:v>294</c:v>
                </c:pt>
                <c:pt idx="282">
                  <c:v>207</c:v>
                </c:pt>
                <c:pt idx="283">
                  <c:v>279</c:v>
                </c:pt>
                <c:pt idx="284">
                  <c:v>322</c:v>
                </c:pt>
                <c:pt idx="285">
                  <c:v>362</c:v>
                </c:pt>
                <c:pt idx="286">
                  <c:v>893</c:v>
                </c:pt>
                <c:pt idx="287">
                  <c:v>233</c:v>
                </c:pt>
                <c:pt idx="288">
                  <c:v>383</c:v>
                </c:pt>
                <c:pt idx="289">
                  <c:v>308</c:v>
                </c:pt>
                <c:pt idx="290">
                  <c:v>477</c:v>
                </c:pt>
                <c:pt idx="291">
                  <c:v>293</c:v>
                </c:pt>
                <c:pt idx="292">
                  <c:v>464</c:v>
                </c:pt>
                <c:pt idx="293">
                  <c:v>290</c:v>
                </c:pt>
                <c:pt idx="294">
                  <c:v>273</c:v>
                </c:pt>
                <c:pt idx="295">
                  <c:v>370</c:v>
                </c:pt>
                <c:pt idx="296">
                  <c:v>354</c:v>
                </c:pt>
                <c:pt idx="297">
                  <c:v>377</c:v>
                </c:pt>
                <c:pt idx="298">
                  <c:v>326</c:v>
                </c:pt>
                <c:pt idx="299">
                  <c:v>280</c:v>
                </c:pt>
                <c:pt idx="300">
                  <c:v>252</c:v>
                </c:pt>
                <c:pt idx="301">
                  <c:v>292</c:v>
                </c:pt>
                <c:pt idx="302">
                  <c:v>279</c:v>
                </c:pt>
                <c:pt idx="303">
                  <c:v>298</c:v>
                </c:pt>
                <c:pt idx="304">
                  <c:v>271</c:v>
                </c:pt>
                <c:pt idx="305">
                  <c:v>303</c:v>
                </c:pt>
                <c:pt idx="306">
                  <c:v>287</c:v>
                </c:pt>
                <c:pt idx="307">
                  <c:v>351</c:v>
                </c:pt>
                <c:pt idx="308">
                  <c:v>325</c:v>
                </c:pt>
                <c:pt idx="309">
                  <c:v>336</c:v>
                </c:pt>
                <c:pt idx="310">
                  <c:v>396</c:v>
                </c:pt>
                <c:pt idx="311">
                  <c:v>630</c:v>
                </c:pt>
                <c:pt idx="312">
                  <c:v>313</c:v>
                </c:pt>
                <c:pt idx="313">
                  <c:v>695</c:v>
                </c:pt>
                <c:pt idx="314">
                  <c:v>275</c:v>
                </c:pt>
                <c:pt idx="315">
                  <c:v>298</c:v>
                </c:pt>
                <c:pt idx="316">
                  <c:v>278</c:v>
                </c:pt>
                <c:pt idx="317">
                  <c:v>294</c:v>
                </c:pt>
                <c:pt idx="318">
                  <c:v>325</c:v>
                </c:pt>
                <c:pt idx="319">
                  <c:v>678</c:v>
                </c:pt>
                <c:pt idx="320">
                  <c:v>488</c:v>
                </c:pt>
                <c:pt idx="321">
                  <c:v>338</c:v>
                </c:pt>
                <c:pt idx="322">
                  <c:v>179</c:v>
                </c:pt>
                <c:pt idx="323">
                  <c:v>257</c:v>
                </c:pt>
                <c:pt idx="324">
                  <c:v>636</c:v>
                </c:pt>
                <c:pt idx="325">
                  <c:v>292</c:v>
                </c:pt>
                <c:pt idx="326">
                  <c:v>466</c:v>
                </c:pt>
                <c:pt idx="327">
                  <c:v>292</c:v>
                </c:pt>
                <c:pt idx="328">
                  <c:v>317</c:v>
                </c:pt>
                <c:pt idx="329">
                  <c:v>879</c:v>
                </c:pt>
                <c:pt idx="330">
                  <c:v>560</c:v>
                </c:pt>
                <c:pt idx="331">
                  <c:v>317</c:v>
                </c:pt>
                <c:pt idx="332">
                  <c:v>318</c:v>
                </c:pt>
                <c:pt idx="333">
                  <c:v>302</c:v>
                </c:pt>
                <c:pt idx="334">
                  <c:v>444</c:v>
                </c:pt>
                <c:pt idx="335">
                  <c:v>728</c:v>
                </c:pt>
                <c:pt idx="336">
                  <c:v>679</c:v>
                </c:pt>
                <c:pt idx="337">
                  <c:v>446</c:v>
                </c:pt>
                <c:pt idx="338">
                  <c:v>234</c:v>
                </c:pt>
                <c:pt idx="339">
                  <c:v>385</c:v>
                </c:pt>
                <c:pt idx="340">
                  <c:v>1265</c:v>
                </c:pt>
                <c:pt idx="341">
                  <c:v>337</c:v>
                </c:pt>
                <c:pt idx="342">
                  <c:v>295</c:v>
                </c:pt>
                <c:pt idx="343">
                  <c:v>556</c:v>
                </c:pt>
                <c:pt idx="344">
                  <c:v>251</c:v>
                </c:pt>
                <c:pt idx="345">
                  <c:v>518</c:v>
                </c:pt>
                <c:pt idx="346">
                  <c:v>402</c:v>
                </c:pt>
                <c:pt idx="347">
                  <c:v>281</c:v>
                </c:pt>
                <c:pt idx="348">
                  <c:v>506</c:v>
                </c:pt>
                <c:pt idx="349">
                  <c:v>393</c:v>
                </c:pt>
                <c:pt idx="350">
                  <c:v>291</c:v>
                </c:pt>
                <c:pt idx="351">
                  <c:v>569</c:v>
                </c:pt>
                <c:pt idx="352">
                  <c:v>258</c:v>
                </c:pt>
                <c:pt idx="353">
                  <c:v>281</c:v>
                </c:pt>
                <c:pt idx="354">
                  <c:v>280</c:v>
                </c:pt>
                <c:pt idx="355">
                  <c:v>573</c:v>
                </c:pt>
                <c:pt idx="356">
                  <c:v>-374</c:v>
                </c:pt>
                <c:pt idx="357">
                  <c:v>-866</c:v>
                </c:pt>
                <c:pt idx="358">
                  <c:v>409</c:v>
                </c:pt>
                <c:pt idx="359">
                  <c:v>376</c:v>
                </c:pt>
                <c:pt idx="360">
                  <c:v>639</c:v>
                </c:pt>
                <c:pt idx="361">
                  <c:v>338</c:v>
                </c:pt>
                <c:pt idx="362">
                  <c:v>244</c:v>
                </c:pt>
                <c:pt idx="363">
                  <c:v>286</c:v>
                </c:pt>
                <c:pt idx="364">
                  <c:v>256</c:v>
                </c:pt>
                <c:pt idx="365">
                  <c:v>255</c:v>
                </c:pt>
                <c:pt idx="366">
                  <c:v>271</c:v>
                </c:pt>
                <c:pt idx="367">
                  <c:v>397</c:v>
                </c:pt>
                <c:pt idx="368">
                  <c:v>464</c:v>
                </c:pt>
                <c:pt idx="369">
                  <c:v>-394</c:v>
                </c:pt>
                <c:pt idx="370">
                  <c:v>295</c:v>
                </c:pt>
                <c:pt idx="371">
                  <c:v>225</c:v>
                </c:pt>
                <c:pt idx="372">
                  <c:v>270</c:v>
                </c:pt>
                <c:pt idx="373">
                  <c:v>326</c:v>
                </c:pt>
                <c:pt idx="374">
                  <c:v>467</c:v>
                </c:pt>
                <c:pt idx="375">
                  <c:v>269</c:v>
                </c:pt>
                <c:pt idx="376">
                  <c:v>296</c:v>
                </c:pt>
                <c:pt idx="377">
                  <c:v>469</c:v>
                </c:pt>
                <c:pt idx="378">
                  <c:v>476</c:v>
                </c:pt>
                <c:pt idx="379">
                  <c:v>463</c:v>
                </c:pt>
                <c:pt idx="380">
                  <c:v>400</c:v>
                </c:pt>
                <c:pt idx="381">
                  <c:v>282</c:v>
                </c:pt>
                <c:pt idx="382">
                  <c:v>379</c:v>
                </c:pt>
                <c:pt idx="383">
                  <c:v>477</c:v>
                </c:pt>
                <c:pt idx="384">
                  <c:v>294</c:v>
                </c:pt>
                <c:pt idx="385">
                  <c:v>407</c:v>
                </c:pt>
                <c:pt idx="386">
                  <c:v>482</c:v>
                </c:pt>
                <c:pt idx="387">
                  <c:v>524</c:v>
                </c:pt>
                <c:pt idx="388">
                  <c:v>418</c:v>
                </c:pt>
                <c:pt idx="389">
                  <c:v>496</c:v>
                </c:pt>
                <c:pt idx="390">
                  <c:v>513</c:v>
                </c:pt>
                <c:pt idx="391">
                  <c:v>306</c:v>
                </c:pt>
                <c:pt idx="392">
                  <c:v>448</c:v>
                </c:pt>
                <c:pt idx="393">
                  <c:v>450</c:v>
                </c:pt>
                <c:pt idx="394">
                  <c:v>518</c:v>
                </c:pt>
                <c:pt idx="395">
                  <c:v>829</c:v>
                </c:pt>
                <c:pt idx="396">
                  <c:v>532</c:v>
                </c:pt>
                <c:pt idx="397">
                  <c:v>427</c:v>
                </c:pt>
                <c:pt idx="398">
                  <c:v>306</c:v>
                </c:pt>
                <c:pt idx="399">
                  <c:v>272</c:v>
                </c:pt>
                <c:pt idx="400">
                  <c:v>353</c:v>
                </c:pt>
                <c:pt idx="401">
                  <c:v>372</c:v>
                </c:pt>
                <c:pt idx="402">
                  <c:v>940</c:v>
                </c:pt>
                <c:pt idx="403">
                  <c:v>381</c:v>
                </c:pt>
                <c:pt idx="404">
                  <c:v>484</c:v>
                </c:pt>
                <c:pt idx="405">
                  <c:v>409</c:v>
                </c:pt>
                <c:pt idx="406">
                  <c:v>526</c:v>
                </c:pt>
                <c:pt idx="407">
                  <c:v>265</c:v>
                </c:pt>
                <c:pt idx="408">
                  <c:v>445</c:v>
                </c:pt>
                <c:pt idx="409">
                  <c:v>310</c:v>
                </c:pt>
                <c:pt idx="410">
                  <c:v>392</c:v>
                </c:pt>
                <c:pt idx="411">
                  <c:v>300</c:v>
                </c:pt>
                <c:pt idx="412">
                  <c:v>280</c:v>
                </c:pt>
                <c:pt idx="413">
                  <c:v>598</c:v>
                </c:pt>
                <c:pt idx="414">
                  <c:v>360</c:v>
                </c:pt>
                <c:pt idx="415">
                  <c:v>331</c:v>
                </c:pt>
                <c:pt idx="416">
                  <c:v>212</c:v>
                </c:pt>
                <c:pt idx="417">
                  <c:v>291</c:v>
                </c:pt>
                <c:pt idx="418">
                  <c:v>672</c:v>
                </c:pt>
                <c:pt idx="419">
                  <c:v>295</c:v>
                </c:pt>
                <c:pt idx="420">
                  <c:v>310</c:v>
                </c:pt>
                <c:pt idx="421">
                  <c:v>2146</c:v>
                </c:pt>
                <c:pt idx="422">
                  <c:v>308</c:v>
                </c:pt>
                <c:pt idx="423">
                  <c:v>305</c:v>
                </c:pt>
                <c:pt idx="424">
                  <c:v>344</c:v>
                </c:pt>
                <c:pt idx="425">
                  <c:v>330</c:v>
                </c:pt>
                <c:pt idx="426">
                  <c:v>288</c:v>
                </c:pt>
                <c:pt idx="427">
                  <c:v>803</c:v>
                </c:pt>
                <c:pt idx="428">
                  <c:v>310</c:v>
                </c:pt>
                <c:pt idx="429">
                  <c:v>389</c:v>
                </c:pt>
                <c:pt idx="430">
                  <c:v>308</c:v>
                </c:pt>
                <c:pt idx="431">
                  <c:v>258</c:v>
                </c:pt>
                <c:pt idx="432">
                  <c:v>311</c:v>
                </c:pt>
                <c:pt idx="433">
                  <c:v>380</c:v>
                </c:pt>
                <c:pt idx="434">
                  <c:v>370</c:v>
                </c:pt>
                <c:pt idx="435">
                  <c:v>524</c:v>
                </c:pt>
                <c:pt idx="436">
                  <c:v>383</c:v>
                </c:pt>
                <c:pt idx="437">
                  <c:v>255</c:v>
                </c:pt>
                <c:pt idx="438">
                  <c:v>371</c:v>
                </c:pt>
                <c:pt idx="439">
                  <c:v>420</c:v>
                </c:pt>
                <c:pt idx="440">
                  <c:v>756</c:v>
                </c:pt>
                <c:pt idx="441">
                  <c:v>324</c:v>
                </c:pt>
                <c:pt idx="442">
                  <c:v>264</c:v>
                </c:pt>
                <c:pt idx="443">
                  <c:v>365</c:v>
                </c:pt>
                <c:pt idx="444">
                  <c:v>447</c:v>
                </c:pt>
                <c:pt idx="445">
                  <c:v>367</c:v>
                </c:pt>
                <c:pt idx="446">
                  <c:v>315</c:v>
                </c:pt>
                <c:pt idx="447">
                  <c:v>500</c:v>
                </c:pt>
                <c:pt idx="448">
                  <c:v>329</c:v>
                </c:pt>
                <c:pt idx="449">
                  <c:v>469</c:v>
                </c:pt>
                <c:pt idx="450">
                  <c:v>383</c:v>
                </c:pt>
                <c:pt idx="451">
                  <c:v>300</c:v>
                </c:pt>
                <c:pt idx="452">
                  <c:v>290</c:v>
                </c:pt>
                <c:pt idx="453">
                  <c:v>292</c:v>
                </c:pt>
                <c:pt idx="454">
                  <c:v>307</c:v>
                </c:pt>
                <c:pt idx="455">
                  <c:v>415</c:v>
                </c:pt>
                <c:pt idx="456">
                  <c:v>282</c:v>
                </c:pt>
                <c:pt idx="457">
                  <c:v>-945</c:v>
                </c:pt>
                <c:pt idx="458">
                  <c:v>273</c:v>
                </c:pt>
                <c:pt idx="459">
                  <c:v>459</c:v>
                </c:pt>
                <c:pt idx="460">
                  <c:v>262</c:v>
                </c:pt>
                <c:pt idx="461">
                  <c:v>264</c:v>
                </c:pt>
                <c:pt idx="462">
                  <c:v>296</c:v>
                </c:pt>
                <c:pt idx="463">
                  <c:v>272</c:v>
                </c:pt>
                <c:pt idx="464">
                  <c:v>290</c:v>
                </c:pt>
                <c:pt idx="465">
                  <c:v>267</c:v>
                </c:pt>
                <c:pt idx="466">
                  <c:v>285</c:v>
                </c:pt>
                <c:pt idx="467">
                  <c:v>274</c:v>
                </c:pt>
                <c:pt idx="468">
                  <c:v>268</c:v>
                </c:pt>
                <c:pt idx="469">
                  <c:v>265</c:v>
                </c:pt>
                <c:pt idx="470">
                  <c:v>270</c:v>
                </c:pt>
                <c:pt idx="471">
                  <c:v>266</c:v>
                </c:pt>
                <c:pt idx="472">
                  <c:v>289</c:v>
                </c:pt>
                <c:pt idx="473">
                  <c:v>279</c:v>
                </c:pt>
                <c:pt idx="474">
                  <c:v>265</c:v>
                </c:pt>
                <c:pt idx="475">
                  <c:v>267</c:v>
                </c:pt>
                <c:pt idx="476">
                  <c:v>276</c:v>
                </c:pt>
                <c:pt idx="477">
                  <c:v>268</c:v>
                </c:pt>
                <c:pt idx="478">
                  <c:v>281</c:v>
                </c:pt>
                <c:pt idx="479">
                  <c:v>268</c:v>
                </c:pt>
                <c:pt idx="480">
                  <c:v>282</c:v>
                </c:pt>
                <c:pt idx="481">
                  <c:v>271</c:v>
                </c:pt>
                <c:pt idx="482">
                  <c:v>-606</c:v>
                </c:pt>
                <c:pt idx="483">
                  <c:v>355</c:v>
                </c:pt>
                <c:pt idx="484">
                  <c:v>295</c:v>
                </c:pt>
                <c:pt idx="485">
                  <c:v>270</c:v>
                </c:pt>
                <c:pt idx="486">
                  <c:v>279</c:v>
                </c:pt>
                <c:pt idx="487">
                  <c:v>363</c:v>
                </c:pt>
                <c:pt idx="488">
                  <c:v>314</c:v>
                </c:pt>
                <c:pt idx="489">
                  <c:v>274</c:v>
                </c:pt>
                <c:pt idx="490">
                  <c:v>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3-47A2-992C-F334847F39F9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093-47A2-992C-F334847F39F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491</c:v>
              </c:pt>
            </c:numLit>
          </c:xVal>
          <c:yVal>
            <c:numLit>
              <c:formatCode>General</c:formatCode>
              <c:ptCount val="2"/>
              <c:pt idx="0">
                <c:v>2000</c:v>
              </c:pt>
              <c:pt idx="1">
                <c:v>2000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093-47A2-992C-F334847F39F9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093-47A2-992C-F334847F39F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491</c:v>
              </c:pt>
            </c:numLit>
          </c:xVal>
          <c:yVal>
            <c:numLit>
              <c:formatCode>General</c:formatCode>
              <c:ptCount val="2"/>
              <c:pt idx="0">
                <c:v>-2000</c:v>
              </c:pt>
              <c:pt idx="1">
                <c:v>-2000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2093-47A2-992C-F334847F3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549104"/>
        <c:axId val="1956539952"/>
      </c:scatterChart>
      <c:valAx>
        <c:axId val="1956549104"/>
        <c:scaling>
          <c:orientation val="minMax"/>
          <c:max val="491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956539952"/>
        <c:crosses val="autoZero"/>
        <c:crossBetween val="midCat"/>
      </c:valAx>
      <c:valAx>
        <c:axId val="195653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6549104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GyY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GyY</c:v>
          </c:tx>
          <c:marker>
            <c:symbol val="none"/>
          </c:marker>
          <c:xVal>
            <c:numLit>
              <c:formatCode>General</c:formatCode>
              <c:ptCount val="1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</c:numLit>
          </c:xVal>
          <c:yVal>
            <c:numRef>
              <c:f>SimpleData!$H$533:$H$550</c:f>
              <c:numCache>
                <c:formatCode>General</c:formatCode>
                <c:ptCount val="18"/>
                <c:pt idx="0">
                  <c:v>4251</c:v>
                </c:pt>
                <c:pt idx="1">
                  <c:v>398</c:v>
                </c:pt>
                <c:pt idx="2">
                  <c:v>267</c:v>
                </c:pt>
                <c:pt idx="3">
                  <c:v>256</c:v>
                </c:pt>
                <c:pt idx="4">
                  <c:v>253</c:v>
                </c:pt>
                <c:pt idx="5">
                  <c:v>276</c:v>
                </c:pt>
                <c:pt idx="6">
                  <c:v>276</c:v>
                </c:pt>
                <c:pt idx="7">
                  <c:v>271</c:v>
                </c:pt>
                <c:pt idx="8">
                  <c:v>259</c:v>
                </c:pt>
                <c:pt idx="9">
                  <c:v>259</c:v>
                </c:pt>
                <c:pt idx="10">
                  <c:v>275</c:v>
                </c:pt>
                <c:pt idx="11">
                  <c:v>272</c:v>
                </c:pt>
                <c:pt idx="12">
                  <c:v>259</c:v>
                </c:pt>
                <c:pt idx="13">
                  <c:v>288</c:v>
                </c:pt>
                <c:pt idx="14">
                  <c:v>278</c:v>
                </c:pt>
                <c:pt idx="15">
                  <c:v>288</c:v>
                </c:pt>
                <c:pt idx="16">
                  <c:v>267</c:v>
                </c:pt>
                <c:pt idx="17">
                  <c:v>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21-4919-9F6D-80A9C171DBC2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521-4919-9F6D-80A9C171DBC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18</c:v>
              </c:pt>
            </c:numLit>
          </c:xVal>
          <c:yVal>
            <c:numLit>
              <c:formatCode>General</c:formatCode>
              <c:ptCount val="2"/>
              <c:pt idx="0">
                <c:v>2000</c:v>
              </c:pt>
              <c:pt idx="1">
                <c:v>2000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521-4919-9F6D-80A9C171DBC2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521-4919-9F6D-80A9C171DBC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18</c:v>
              </c:pt>
            </c:numLit>
          </c:xVal>
          <c:yVal>
            <c:numLit>
              <c:formatCode>General</c:formatCode>
              <c:ptCount val="2"/>
              <c:pt idx="0">
                <c:v>-2000</c:v>
              </c:pt>
              <c:pt idx="1">
                <c:v>-2000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5521-4919-9F6D-80A9C171D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525392"/>
        <c:axId val="1956544112"/>
      </c:scatterChart>
      <c:valAx>
        <c:axId val="1956525392"/>
        <c:scaling>
          <c:orientation val="minMax"/>
          <c:max val="18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956544112"/>
        <c:crosses val="autoZero"/>
        <c:crossBetween val="midCat"/>
      </c:valAx>
      <c:valAx>
        <c:axId val="1956544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652539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AcX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AcX</c:v>
          </c:tx>
          <c:marker>
            <c:symbol val="none"/>
          </c:marker>
          <c:xVal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xVal>
          <c:yVal>
            <c:numRef>
              <c:f>SimpleData!$D$637:$D$639</c:f>
              <c:numCache>
                <c:formatCode>General</c:formatCode>
                <c:ptCount val="3"/>
                <c:pt idx="0">
                  <c:v>10088</c:v>
                </c:pt>
                <c:pt idx="1">
                  <c:v>9972</c:v>
                </c:pt>
                <c:pt idx="2">
                  <c:v>9932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F2-42C4-A0BE-4755D404A17E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2F2-42C4-A0BE-4755D404A17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10000</c:v>
              </c:pt>
              <c:pt idx="1">
                <c:v>10000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2F2-42C4-A0BE-4755D404A17E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2F2-42C4-A0BE-4755D404A17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-10000</c:v>
              </c:pt>
              <c:pt idx="1">
                <c:v>-10000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2F2-42C4-A0BE-4755D404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8448512"/>
        <c:axId val="1858448928"/>
      </c:scatterChart>
      <c:valAx>
        <c:axId val="1858448512"/>
        <c:scaling>
          <c:orientation val="minMax"/>
          <c:max val="3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858448928"/>
        <c:crosses val="autoZero"/>
        <c:crossBetween val="midCat"/>
      </c:valAx>
      <c:valAx>
        <c:axId val="1858448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84485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Humidade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Humidade</c:v>
          </c:tx>
          <c:marker>
            <c:symbol val="none"/>
          </c:marker>
          <c:xVal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xVal>
          <c:yVal>
            <c:numRef>
              <c:f>SimpleData!$C$637:$C$639</c:f>
              <c:numCache>
                <c:formatCode>General</c:formatCode>
                <c:ptCount val="3"/>
                <c:pt idx="0">
                  <c:v>70</c:v>
                </c:pt>
                <c:pt idx="1">
                  <c:v>66</c:v>
                </c:pt>
                <c:pt idx="2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3E-4776-A6D6-FDF7DA2EDE5E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33E-4776-A6D6-FDF7DA2EDE5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80</c:v>
              </c:pt>
              <c:pt idx="1">
                <c:v>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33E-4776-A6D6-FDF7DA2EDE5E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33E-4776-A6D6-FDF7DA2EDE5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50</c:v>
              </c:pt>
              <c:pt idx="1">
                <c:v>50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33E-4776-A6D6-FDF7DA2ED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814736"/>
        <c:axId val="1935815152"/>
      </c:scatterChart>
      <c:valAx>
        <c:axId val="1935814736"/>
        <c:scaling>
          <c:orientation val="minMax"/>
          <c:max val="3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935815152"/>
        <c:crosses val="autoZero"/>
        <c:crossBetween val="midCat"/>
      </c:valAx>
      <c:valAx>
        <c:axId val="1935815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5814736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AcZ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AcZ</c:v>
          </c:tx>
          <c:marker>
            <c:symbol val="none"/>
          </c:marker>
          <c:xVal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xVal>
          <c:yVal>
            <c:numRef>
              <c:f>SimpleData!$F$637:$F$639</c:f>
              <c:numCache>
                <c:formatCode>General</c:formatCode>
                <c:ptCount val="3"/>
                <c:pt idx="0">
                  <c:v>11812</c:v>
                </c:pt>
                <c:pt idx="1">
                  <c:v>11716</c:v>
                </c:pt>
                <c:pt idx="2">
                  <c:v>11820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6-4909-9E4B-CEAA653CDAF5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EC6-4909-9E4B-CEAA653CDA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16000</c:v>
              </c:pt>
              <c:pt idx="1">
                <c:v>16000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EC6-4909-9E4B-CEAA653CDAF5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EC6-4909-9E4B-CEAA653CDA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9000</c:v>
              </c:pt>
              <c:pt idx="1">
                <c:v>9000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9EC6-4909-9E4B-CEAA653CD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930752"/>
        <c:axId val="1936650816"/>
      </c:scatterChart>
      <c:valAx>
        <c:axId val="1934930752"/>
        <c:scaling>
          <c:orientation val="minMax"/>
          <c:max val="3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936650816"/>
        <c:crosses val="autoZero"/>
        <c:crossBetween val="midCat"/>
      </c:valAx>
      <c:valAx>
        <c:axId val="193665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493075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AcY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AcY</c:v>
          </c:tx>
          <c:marker>
            <c:symbol val="none"/>
          </c:marker>
          <c:xVal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xVal>
          <c:yVal>
            <c:numRef>
              <c:f>SimpleData!$E$637:$E$639</c:f>
              <c:numCache>
                <c:formatCode>General</c:formatCode>
                <c:ptCount val="3"/>
                <c:pt idx="0">
                  <c:v>-932</c:v>
                </c:pt>
                <c:pt idx="1">
                  <c:v>-532</c:v>
                </c:pt>
                <c:pt idx="2">
                  <c:v>-556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6B-4D14-8DAA-530EC1AFD2F2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76B-4D14-8DAA-530EC1AFD2F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10000</c:v>
              </c:pt>
              <c:pt idx="1">
                <c:v>10000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76B-4D14-8DAA-530EC1AFD2F2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76B-4D14-8DAA-530EC1AFD2F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-10000</c:v>
              </c:pt>
              <c:pt idx="1">
                <c:v>-10000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76B-4D14-8DAA-530EC1AFD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815568"/>
        <c:axId val="1935814320"/>
      </c:scatterChart>
      <c:valAx>
        <c:axId val="1935815568"/>
        <c:scaling>
          <c:orientation val="minMax"/>
          <c:max val="3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935814320"/>
        <c:crosses val="autoZero"/>
        <c:crossBetween val="midCat"/>
      </c:valAx>
      <c:valAx>
        <c:axId val="1935814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5815568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GyZ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GyZ</c:v>
          </c:tx>
          <c:marker>
            <c:symbol val="none"/>
          </c:marker>
          <c:xVal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xVal>
          <c:yVal>
            <c:numRef>
              <c:f>SimpleData!$I$637:$I$639</c:f>
              <c:numCache>
                <c:formatCode>General</c:formatCode>
                <c:ptCount val="3"/>
                <c:pt idx="0">
                  <c:v>349</c:v>
                </c:pt>
                <c:pt idx="1">
                  <c:v>-253</c:v>
                </c:pt>
                <c:pt idx="2">
                  <c:v>-301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E5-4DFE-830B-9AFC494F9479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EE5-4DFE-830B-9AFC494F947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2000</c:v>
              </c:pt>
              <c:pt idx="1">
                <c:v>2000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EE5-4DFE-830B-9AFC494F9479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EE5-4DFE-830B-9AFC494F947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-2000</c:v>
              </c:pt>
              <c:pt idx="1">
                <c:v>-2000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9EE5-4DFE-830B-9AFC494F9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214688"/>
        <c:axId val="1934213856"/>
      </c:scatterChart>
      <c:valAx>
        <c:axId val="1934214688"/>
        <c:scaling>
          <c:orientation val="minMax"/>
          <c:max val="3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934213856"/>
        <c:crosses val="autoZero"/>
        <c:crossBetween val="midCat"/>
      </c:valAx>
      <c:valAx>
        <c:axId val="193421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4214688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GyY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GyY</c:v>
          </c:tx>
          <c:marker>
            <c:symbol val="none"/>
          </c:marker>
          <c:xVal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xVal>
          <c:yVal>
            <c:numRef>
              <c:f>SimpleData!$H$637:$H$639</c:f>
              <c:numCache>
                <c:formatCode>General</c:formatCode>
                <c:ptCount val="3"/>
                <c:pt idx="0">
                  <c:v>622</c:v>
                </c:pt>
                <c:pt idx="1">
                  <c:v>292</c:v>
                </c:pt>
                <c:pt idx="2">
                  <c:v>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4870-98B2-25C21592E0C9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335-4870-98B2-25C21592E0C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2000</c:v>
              </c:pt>
              <c:pt idx="1">
                <c:v>2000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335-4870-98B2-25C21592E0C9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B335-4870-98B2-25C21592E0C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-2000</c:v>
              </c:pt>
              <c:pt idx="1">
                <c:v>-2000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B335-4870-98B2-25C21592E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2560"/>
        <c:axId val="1936651648"/>
      </c:scatterChart>
      <c:valAx>
        <c:axId val="18342560"/>
        <c:scaling>
          <c:orientation val="minMax"/>
          <c:max val="3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936651648"/>
        <c:crosses val="autoZero"/>
        <c:crossBetween val="midCat"/>
      </c:valAx>
      <c:valAx>
        <c:axId val="193665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42560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GyX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GyX</c:v>
          </c:tx>
          <c:marker>
            <c:symbol val="none"/>
          </c:marker>
          <c:xVal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xVal>
          <c:yVal>
            <c:numRef>
              <c:f>SimpleData!$G$637:$G$639</c:f>
              <c:numCache>
                <c:formatCode>General</c:formatCode>
                <c:ptCount val="3"/>
                <c:pt idx="0">
                  <c:v>-773</c:v>
                </c:pt>
                <c:pt idx="1">
                  <c:v>-194</c:v>
                </c:pt>
                <c:pt idx="2">
                  <c:v>-184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F4-456A-A347-8D35ACA61772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8F4-456A-A347-8D35ACA6177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2000</c:v>
              </c:pt>
              <c:pt idx="1">
                <c:v>2000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8F4-456A-A347-8D35ACA61772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8F4-456A-A347-8D35ACA6177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-2000</c:v>
              </c:pt>
              <c:pt idx="1">
                <c:v>-2000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E8F4-456A-A347-8D35ACA61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74896"/>
        <c:axId val="18675728"/>
      </c:scatterChart>
      <c:valAx>
        <c:axId val="18674896"/>
        <c:scaling>
          <c:orientation val="minMax"/>
          <c:max val="3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8675728"/>
        <c:crosses val="autoZero"/>
        <c:crossBetween val="midCat"/>
      </c:valAx>
      <c:valAx>
        <c:axId val="1867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74896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Temperatura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Temperatura</c:v>
          </c:tx>
          <c:marker>
            <c:symbol val="none"/>
          </c:marker>
          <c:xVal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xVal>
          <c:yVal>
            <c:numRef>
              <c:f>SimpleData!$B$637:$B$639</c:f>
              <c:numCache>
                <c:formatCode>General</c:formatCode>
                <c:ptCount val="3"/>
                <c:pt idx="0">
                  <c:v>28.6</c:v>
                </c:pt>
                <c:pt idx="1">
                  <c:v>28.7</c:v>
                </c:pt>
                <c:pt idx="2">
                  <c:v>28.6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1D-4531-BCFB-36DCF64960C8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A1D-4531-BCFB-36DCF64960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35</c:v>
              </c:pt>
              <c:pt idx="1">
                <c:v>35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A1D-4531-BCFB-36DCF64960C8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A1D-4531-BCFB-36DCF64960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10</c:v>
              </c:pt>
              <c:pt idx="1">
                <c:v>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A1D-4531-BCFB-36DCF6496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8624"/>
        <c:axId val="18649040"/>
      </c:scatterChart>
      <c:valAx>
        <c:axId val="18648624"/>
        <c:scaling>
          <c:orientation val="minMax"/>
          <c:max val="3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8649040"/>
        <c:crosses val="autoZero"/>
        <c:crossBetween val="midCat"/>
      </c:valAx>
      <c:valAx>
        <c:axId val="18649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48624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Humidade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Humidade</c:v>
          </c:tx>
          <c:marker>
            <c:symbol val="none"/>
          </c:marker>
          <c:xVal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xVal>
          <c:yVal>
            <c:numRef>
              <c:f>SimpleData!$C$637:$C$639</c:f>
              <c:numCache>
                <c:formatCode>General</c:formatCode>
                <c:ptCount val="3"/>
                <c:pt idx="0">
                  <c:v>70</c:v>
                </c:pt>
                <c:pt idx="1">
                  <c:v>66</c:v>
                </c:pt>
                <c:pt idx="2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82-4B00-AC0B-C69C14EC6545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582-4B00-AC0B-C69C14EC654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80</c:v>
              </c:pt>
              <c:pt idx="1">
                <c:v>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582-4B00-AC0B-C69C14EC6545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8582-4B00-AC0B-C69C14EC654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3</c:v>
              </c:pt>
            </c:numLit>
          </c:xVal>
          <c:yVal>
            <c:numLit>
              <c:formatCode>General</c:formatCode>
              <c:ptCount val="2"/>
              <c:pt idx="0">
                <c:v>50</c:v>
              </c:pt>
              <c:pt idx="1">
                <c:v>50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8582-4B00-AC0B-C69C14EC6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02400"/>
        <c:axId val="24694912"/>
      </c:scatterChart>
      <c:valAx>
        <c:axId val="24702400"/>
        <c:scaling>
          <c:orientation val="minMax"/>
          <c:max val="3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24694912"/>
        <c:crosses val="autoZero"/>
        <c:crossBetween val="midCat"/>
      </c:valAx>
      <c:valAx>
        <c:axId val="24694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702400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AcY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AcY</c:v>
          </c:tx>
          <c:marker>
            <c:symbol val="none"/>
          </c:marker>
          <c:xVal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xVal>
          <c:yVal>
            <c:numRef>
              <c:f>SimpleData!$E$521:$E$532</c:f>
              <c:numCache>
                <c:formatCode>General</c:formatCode>
                <c:ptCount val="12"/>
                <c:pt idx="0">
                  <c:v>-3728</c:v>
                </c:pt>
                <c:pt idx="1">
                  <c:v>-3636</c:v>
                </c:pt>
                <c:pt idx="2">
                  <c:v>-3668</c:v>
                </c:pt>
                <c:pt idx="3">
                  <c:v>-3660</c:v>
                </c:pt>
                <c:pt idx="4">
                  <c:v>-3760</c:v>
                </c:pt>
                <c:pt idx="5">
                  <c:v>-4532</c:v>
                </c:pt>
                <c:pt idx="6">
                  <c:v>-5480</c:v>
                </c:pt>
                <c:pt idx="7">
                  <c:v>-4984</c:v>
                </c:pt>
                <c:pt idx="8">
                  <c:v>-8720</c:v>
                </c:pt>
                <c:pt idx="9">
                  <c:v>-14568</c:v>
                </c:pt>
                <c:pt idx="10">
                  <c:v>6624</c:v>
                </c:pt>
                <c:pt idx="11">
                  <c:v>11216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27-4C31-836A-FC417549916A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427-4C31-836A-FC417549916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12</c:v>
              </c:pt>
            </c:numLit>
          </c:xVal>
          <c:yVal>
            <c:numLit>
              <c:formatCode>General</c:formatCode>
              <c:ptCount val="2"/>
              <c:pt idx="0">
                <c:v>10000</c:v>
              </c:pt>
              <c:pt idx="1">
                <c:v>10000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427-4C31-836A-FC417549916A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427-4C31-836A-FC417549916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12</c:v>
              </c:pt>
            </c:numLit>
          </c:xVal>
          <c:yVal>
            <c:numLit>
              <c:formatCode>General</c:formatCode>
              <c:ptCount val="2"/>
              <c:pt idx="0">
                <c:v>-10000</c:v>
              </c:pt>
              <c:pt idx="1">
                <c:v>-10000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427-4C31-836A-FC4175499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307552"/>
        <c:axId val="1783312544"/>
      </c:scatterChart>
      <c:valAx>
        <c:axId val="1783307552"/>
        <c:scaling>
          <c:orientation val="minMax"/>
          <c:max val="12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783312544"/>
        <c:crosses val="autoZero"/>
        <c:crossBetween val="midCat"/>
      </c:valAx>
      <c:valAx>
        <c:axId val="1783312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330755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Humidade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Humidade</c:v>
          </c:tx>
          <c:marker>
            <c:symbol val="none"/>
          </c:marker>
          <c:xVal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xVal>
          <c:yVal>
            <c:numRef>
              <c:f>SimpleData!$C$521:$C$532</c:f>
              <c:numCache>
                <c:formatCode>General</c:formatCode>
                <c:ptCount val="12"/>
                <c:pt idx="0">
                  <c:v>75</c:v>
                </c:pt>
                <c:pt idx="1">
                  <c:v>74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D-4C1C-BB63-FB38C9F81152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D4D-4C1C-BB63-FB38C9F8115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12</c:v>
              </c:pt>
            </c:numLit>
          </c:xVal>
          <c:yVal>
            <c:numLit>
              <c:formatCode>General</c:formatCode>
              <c:ptCount val="2"/>
              <c:pt idx="0">
                <c:v>80</c:v>
              </c:pt>
              <c:pt idx="1">
                <c:v>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D4D-4C1C-BB63-FB38C9F81152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8D4D-4C1C-BB63-FB38C9F8115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12</c:v>
              </c:pt>
            </c:numLit>
          </c:xVal>
          <c:yVal>
            <c:numLit>
              <c:formatCode>General</c:formatCode>
              <c:ptCount val="2"/>
              <c:pt idx="0">
                <c:v>50</c:v>
              </c:pt>
              <c:pt idx="1">
                <c:v>50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8D4D-4C1C-BB63-FB38C9F81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741888"/>
        <c:axId val="1710744800"/>
      </c:scatterChart>
      <c:valAx>
        <c:axId val="1710741888"/>
        <c:scaling>
          <c:orientation val="minMax"/>
          <c:max val="12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710744800"/>
        <c:crosses val="autoZero"/>
        <c:crossBetween val="midCat"/>
      </c:valAx>
      <c:valAx>
        <c:axId val="171074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0741888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AcZ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AcZ</c:v>
          </c:tx>
          <c:marker>
            <c:symbol val="none"/>
          </c:marker>
          <c:xVal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xVal>
          <c:yVal>
            <c:numRef>
              <c:f>SimpleData!$F$521:$F$532</c:f>
              <c:numCache>
                <c:formatCode>General</c:formatCode>
                <c:ptCount val="12"/>
                <c:pt idx="0">
                  <c:v>7712</c:v>
                </c:pt>
                <c:pt idx="1">
                  <c:v>7532</c:v>
                </c:pt>
                <c:pt idx="2">
                  <c:v>7564</c:v>
                </c:pt>
                <c:pt idx="3">
                  <c:v>7512</c:v>
                </c:pt>
                <c:pt idx="4">
                  <c:v>-8804</c:v>
                </c:pt>
                <c:pt idx="5">
                  <c:v>14292</c:v>
                </c:pt>
                <c:pt idx="6">
                  <c:v>13972</c:v>
                </c:pt>
                <c:pt idx="7">
                  <c:v>12484</c:v>
                </c:pt>
                <c:pt idx="8">
                  <c:v>11364</c:v>
                </c:pt>
                <c:pt idx="9">
                  <c:v>12776</c:v>
                </c:pt>
                <c:pt idx="10">
                  <c:v>13016</c:v>
                </c:pt>
                <c:pt idx="11">
                  <c:v>14244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A-4D47-A933-04C4C309EB28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D8A-4D47-A933-04C4C309EB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12</c:v>
              </c:pt>
            </c:numLit>
          </c:xVal>
          <c:yVal>
            <c:numLit>
              <c:formatCode>General</c:formatCode>
              <c:ptCount val="2"/>
              <c:pt idx="0">
                <c:v>16000</c:v>
              </c:pt>
              <c:pt idx="1">
                <c:v>16000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D8A-4D47-A933-04C4C309EB28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D8A-4D47-A933-04C4C309EB2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12</c:v>
              </c:pt>
            </c:numLit>
          </c:xVal>
          <c:yVal>
            <c:numLit>
              <c:formatCode>General</c:formatCode>
              <c:ptCount val="2"/>
              <c:pt idx="0">
                <c:v>9000</c:v>
              </c:pt>
              <c:pt idx="1">
                <c:v>9000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D8A-4D47-A933-04C4C309E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982208"/>
        <c:axId val="1788982624"/>
      </c:scatterChart>
      <c:valAx>
        <c:axId val="1788982208"/>
        <c:scaling>
          <c:orientation val="minMax"/>
          <c:max val="12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788982624"/>
        <c:crosses val="autoZero"/>
        <c:crossBetween val="midCat"/>
      </c:valAx>
      <c:valAx>
        <c:axId val="1788982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8982208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Humidade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Humidade</c:v>
          </c:tx>
          <c:marker>
            <c:symbol val="none"/>
          </c:marker>
          <c:xVal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xVal>
          <c:yVal>
            <c:numRef>
              <c:f>SimpleData!$C$607:$C$618</c:f>
              <c:numCache>
                <c:formatCode>General</c:formatCode>
                <c:ptCount val="12"/>
                <c:pt idx="0">
                  <c:v>74</c:v>
                </c:pt>
                <c:pt idx="1">
                  <c:v>74</c:v>
                </c:pt>
                <c:pt idx="2">
                  <c:v>74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ED-468F-B31D-DE422DC3AC8D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EED-468F-B31D-DE422DC3AC8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12</c:v>
              </c:pt>
            </c:numLit>
          </c:xVal>
          <c:yVal>
            <c:numLit>
              <c:formatCode>General</c:formatCode>
              <c:ptCount val="2"/>
              <c:pt idx="0">
                <c:v>80</c:v>
              </c:pt>
              <c:pt idx="1">
                <c:v>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EED-468F-B31D-DE422DC3AC8D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EED-468F-B31D-DE422DC3AC8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12</c:v>
              </c:pt>
            </c:numLit>
          </c:xVal>
          <c:yVal>
            <c:numLit>
              <c:formatCode>General</c:formatCode>
              <c:ptCount val="2"/>
              <c:pt idx="0">
                <c:v>50</c:v>
              </c:pt>
              <c:pt idx="1">
                <c:v>50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EED-468F-B31D-DE422DC3A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070703"/>
        <c:axId val="2084330911"/>
      </c:scatterChart>
      <c:valAx>
        <c:axId val="1838070703"/>
        <c:scaling>
          <c:orientation val="minMax"/>
          <c:max val="12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2084330911"/>
        <c:crosses val="autoZero"/>
        <c:crossBetween val="midCat"/>
      </c:valAx>
      <c:valAx>
        <c:axId val="208433091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8070703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Humidade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Humidade</c:v>
          </c:tx>
          <c:marker>
            <c:symbol val="none"/>
          </c:marker>
          <c:xVal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xVal>
          <c:yVal>
            <c:numRef>
              <c:f>SimpleData!$C$607:$C$618</c:f>
              <c:numCache>
                <c:formatCode>General</c:formatCode>
                <c:ptCount val="12"/>
                <c:pt idx="0">
                  <c:v>74</c:v>
                </c:pt>
                <c:pt idx="1">
                  <c:v>74</c:v>
                </c:pt>
                <c:pt idx="2">
                  <c:v>74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24-4C52-916B-9B703496E080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F24-4C52-916B-9B703496E08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12</c:v>
              </c:pt>
            </c:numLit>
          </c:xVal>
          <c:yVal>
            <c:numLit>
              <c:formatCode>General</c:formatCode>
              <c:ptCount val="2"/>
              <c:pt idx="0">
                <c:v>80</c:v>
              </c:pt>
              <c:pt idx="1">
                <c:v>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F24-4C52-916B-9B703496E080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F24-4C52-916B-9B703496E08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12</c:v>
              </c:pt>
            </c:numLit>
          </c:xVal>
          <c:yVal>
            <c:numLit>
              <c:formatCode>General</c:formatCode>
              <c:ptCount val="2"/>
              <c:pt idx="0">
                <c:v>50</c:v>
              </c:pt>
              <c:pt idx="1">
                <c:v>50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2F24-4C52-916B-9B703496E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088816"/>
        <c:axId val="1921095472"/>
      </c:scatterChart>
      <c:valAx>
        <c:axId val="1921088816"/>
        <c:scaling>
          <c:orientation val="minMax"/>
          <c:max val="12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921095472"/>
        <c:crosses val="autoZero"/>
        <c:crossBetween val="midCat"/>
      </c:valAx>
      <c:valAx>
        <c:axId val="192109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1088816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AcX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AcX</c:v>
          </c:tx>
          <c:marker>
            <c:symbol val="none"/>
          </c:marker>
          <c:xVal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xVal>
          <c:yVal>
            <c:numRef>
              <c:f>SimpleData!$D$607:$D$618</c:f>
              <c:numCache>
                <c:formatCode>General</c:formatCode>
                <c:ptCount val="12"/>
                <c:pt idx="0">
                  <c:v>9796</c:v>
                </c:pt>
                <c:pt idx="1">
                  <c:v>8652</c:v>
                </c:pt>
                <c:pt idx="2">
                  <c:v>8672</c:v>
                </c:pt>
                <c:pt idx="3">
                  <c:v>8708</c:v>
                </c:pt>
                <c:pt idx="4">
                  <c:v>8792</c:v>
                </c:pt>
                <c:pt idx="5">
                  <c:v>13224</c:v>
                </c:pt>
                <c:pt idx="6">
                  <c:v>16164</c:v>
                </c:pt>
                <c:pt idx="7">
                  <c:v>9084</c:v>
                </c:pt>
                <c:pt idx="8">
                  <c:v>14216</c:v>
                </c:pt>
                <c:pt idx="9">
                  <c:v>9664</c:v>
                </c:pt>
                <c:pt idx="10">
                  <c:v>9616</c:v>
                </c:pt>
                <c:pt idx="11">
                  <c:v>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447-8343-6115689F9D10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CF3-4447-8343-6115689F9D1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12</c:v>
              </c:pt>
            </c:numLit>
          </c:xVal>
          <c:yVal>
            <c:numLit>
              <c:formatCode>General</c:formatCode>
              <c:ptCount val="2"/>
              <c:pt idx="0">
                <c:v>10000</c:v>
              </c:pt>
              <c:pt idx="1">
                <c:v>10000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CF3-4447-8343-6115689F9D10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CF3-4447-8343-6115689F9D1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12</c:v>
              </c:pt>
            </c:numLit>
          </c:xVal>
          <c:yVal>
            <c:numLit>
              <c:formatCode>General</c:formatCode>
              <c:ptCount val="2"/>
              <c:pt idx="0">
                <c:v>-10000</c:v>
              </c:pt>
              <c:pt idx="1">
                <c:v>-10000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ECF3-4447-8343-6115689F9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082576"/>
        <c:axId val="1921095888"/>
      </c:scatterChart>
      <c:valAx>
        <c:axId val="1921082576"/>
        <c:scaling>
          <c:orientation val="minMax"/>
          <c:max val="12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921095888"/>
        <c:crosses val="autoZero"/>
        <c:crossBetween val="midCat"/>
      </c:valAx>
      <c:valAx>
        <c:axId val="192109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1082576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VE"/>
              <a:t>GyX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GyX</c:v>
          </c:tx>
          <c:marker>
            <c:symbol val="none"/>
          </c:marker>
          <c:xVal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xVal>
          <c:yVal>
            <c:numRef>
              <c:f>SimpleData!$G$607:$G$618</c:f>
              <c:numCache>
                <c:formatCode>General</c:formatCode>
                <c:ptCount val="12"/>
                <c:pt idx="0">
                  <c:v>-1010</c:v>
                </c:pt>
                <c:pt idx="1">
                  <c:v>-182</c:v>
                </c:pt>
                <c:pt idx="2">
                  <c:v>-200</c:v>
                </c:pt>
                <c:pt idx="3">
                  <c:v>-269</c:v>
                </c:pt>
                <c:pt idx="4">
                  <c:v>-193</c:v>
                </c:pt>
                <c:pt idx="5">
                  <c:v>-1356</c:v>
                </c:pt>
                <c:pt idx="6">
                  <c:v>652</c:v>
                </c:pt>
                <c:pt idx="7">
                  <c:v>-224</c:v>
                </c:pt>
                <c:pt idx="8">
                  <c:v>2799</c:v>
                </c:pt>
                <c:pt idx="9">
                  <c:v>-227</c:v>
                </c:pt>
                <c:pt idx="10">
                  <c:v>-205</c:v>
                </c:pt>
                <c:pt idx="11">
                  <c:v>-2036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CC-41D6-85D8-9148EB7D5E78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6CC-41D6-85D8-9148EB7D5E7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12</c:v>
              </c:pt>
            </c:numLit>
          </c:xVal>
          <c:yVal>
            <c:numLit>
              <c:formatCode>General</c:formatCode>
              <c:ptCount val="2"/>
              <c:pt idx="0">
                <c:v>2000</c:v>
              </c:pt>
              <c:pt idx="1">
                <c:v>2000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6CC-41D6-85D8-9148EB7D5E78}"/>
            </c:ext>
          </c:extLst>
        </c:ser>
        <c:ser>
          <c:idx val="2"/>
          <c:order val="2"/>
          <c:tx>
            <c:v/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6CC-41D6-85D8-9148EB7D5E7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12</c:v>
              </c:pt>
            </c:numLit>
          </c:xVal>
          <c:yVal>
            <c:numLit>
              <c:formatCode>General</c:formatCode>
              <c:ptCount val="2"/>
              <c:pt idx="0">
                <c:v>-2000</c:v>
              </c:pt>
              <c:pt idx="1">
                <c:v>-2000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6CC-41D6-85D8-9148EB7D5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251728"/>
        <c:axId val="1927253392"/>
      </c:scatterChart>
      <c:valAx>
        <c:axId val="1927251728"/>
        <c:scaling>
          <c:orientation val="minMax"/>
          <c:max val="12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927253392"/>
        <c:crosses val="autoZero"/>
        <c:crossBetween val="midCat"/>
      </c:valAx>
      <c:valAx>
        <c:axId val="192725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7251728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501650</xdr:colOff>
      <xdr:row>0</xdr:row>
      <xdr:rowOff>6</xdr:rowOff>
    </xdr:from>
    <xdr:to>
      <xdr:col>10</xdr:col>
      <xdr:colOff>463550</xdr:colOff>
      <xdr:row>14</xdr:row>
      <xdr:rowOff>152406</xdr:rowOff>
    </xdr:to>
    <xdr:graphicFrame macro="">
      <xdr:nvGraphicFramePr>
        <xdr:cNvPr id="1183" name="Gráfico 1182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501650</xdr:colOff>
      <xdr:row>0</xdr:row>
      <xdr:rowOff>6</xdr:rowOff>
    </xdr:from>
    <xdr:to>
      <xdr:col>10</xdr:col>
      <xdr:colOff>463550</xdr:colOff>
      <xdr:row>14</xdr:row>
      <xdr:rowOff>152406</xdr:rowOff>
    </xdr:to>
    <xdr:graphicFrame macro="">
      <xdr:nvGraphicFramePr>
        <xdr:cNvPr id="1196" name="Gráfico 1195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669925</xdr:colOff>
      <xdr:row>633</xdr:row>
      <xdr:rowOff>41275</xdr:rowOff>
    </xdr:from>
    <xdr:to>
      <xdr:col>11</xdr:col>
      <xdr:colOff>22225</xdr:colOff>
      <xdr:row>648</xdr:row>
      <xdr:rowOff>22225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669925</xdr:colOff>
      <xdr:row>633</xdr:row>
      <xdr:rowOff>41275</xdr:rowOff>
    </xdr:from>
    <xdr:to>
      <xdr:col>11</xdr:col>
      <xdr:colOff>22225</xdr:colOff>
      <xdr:row>648</xdr:row>
      <xdr:rowOff>22225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669925</xdr:colOff>
      <xdr:row>633</xdr:row>
      <xdr:rowOff>41275</xdr:rowOff>
    </xdr:from>
    <xdr:to>
      <xdr:col>11</xdr:col>
      <xdr:colOff>22225</xdr:colOff>
      <xdr:row>648</xdr:row>
      <xdr:rowOff>22225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669925</xdr:colOff>
      <xdr:row>633</xdr:row>
      <xdr:rowOff>41275</xdr:rowOff>
    </xdr:from>
    <xdr:to>
      <xdr:col>11</xdr:col>
      <xdr:colOff>22225</xdr:colOff>
      <xdr:row>648</xdr:row>
      <xdr:rowOff>22225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669925</xdr:colOff>
      <xdr:row>633</xdr:row>
      <xdr:rowOff>41275</xdr:rowOff>
    </xdr:from>
    <xdr:to>
      <xdr:col>11</xdr:col>
      <xdr:colOff>22225</xdr:colOff>
      <xdr:row>648</xdr:row>
      <xdr:rowOff>22225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669925</xdr:colOff>
      <xdr:row>633</xdr:row>
      <xdr:rowOff>41275</xdr:rowOff>
    </xdr:from>
    <xdr:to>
      <xdr:col>11</xdr:col>
      <xdr:colOff>22225</xdr:colOff>
      <xdr:row>648</xdr:row>
      <xdr:rowOff>22225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669925</xdr:colOff>
      <xdr:row>633</xdr:row>
      <xdr:rowOff>41275</xdr:rowOff>
    </xdr:from>
    <xdr:to>
      <xdr:col>11</xdr:col>
      <xdr:colOff>22225</xdr:colOff>
      <xdr:row>648</xdr:row>
      <xdr:rowOff>22225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669925</xdr:colOff>
      <xdr:row>633</xdr:row>
      <xdr:rowOff>41275</xdr:rowOff>
    </xdr:from>
    <xdr:to>
      <xdr:col>11</xdr:col>
      <xdr:colOff>22225</xdr:colOff>
      <xdr:row>648</xdr:row>
      <xdr:rowOff>22225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669925</xdr:colOff>
      <xdr:row>633</xdr:row>
      <xdr:rowOff>41275</xdr:rowOff>
    </xdr:from>
    <xdr:to>
      <xdr:col>11</xdr:col>
      <xdr:colOff>22225</xdr:colOff>
      <xdr:row>648</xdr:row>
      <xdr:rowOff>22225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292100</xdr:colOff>
      <xdr:row>633</xdr:row>
      <xdr:rowOff>41275</xdr:rowOff>
    </xdr:from>
    <xdr:to>
      <xdr:col>13</xdr:col>
      <xdr:colOff>171450</xdr:colOff>
      <xdr:row>648</xdr:row>
      <xdr:rowOff>22225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292100</xdr:colOff>
      <xdr:row>633</xdr:row>
      <xdr:rowOff>41275</xdr:rowOff>
    </xdr:from>
    <xdr:to>
      <xdr:col>13</xdr:col>
      <xdr:colOff>171450</xdr:colOff>
      <xdr:row>648</xdr:row>
      <xdr:rowOff>22225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292100</xdr:colOff>
      <xdr:row>633</xdr:row>
      <xdr:rowOff>41275</xdr:rowOff>
    </xdr:from>
    <xdr:to>
      <xdr:col>13</xdr:col>
      <xdr:colOff>171450</xdr:colOff>
      <xdr:row>648</xdr:row>
      <xdr:rowOff>22225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501650</xdr:colOff>
      <xdr:row>630</xdr:row>
      <xdr:rowOff>6</xdr:rowOff>
    </xdr:from>
    <xdr:to>
      <xdr:col>10</xdr:col>
      <xdr:colOff>463550</xdr:colOff>
      <xdr:row>644</xdr:row>
      <xdr:rowOff>165106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501650</xdr:colOff>
      <xdr:row>630</xdr:row>
      <xdr:rowOff>6</xdr:rowOff>
    </xdr:from>
    <xdr:to>
      <xdr:col>10</xdr:col>
      <xdr:colOff>463550</xdr:colOff>
      <xdr:row>644</xdr:row>
      <xdr:rowOff>165106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CE590937-5AC1-1211-675C-D76924EC7B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501650</xdr:colOff>
      <xdr:row>630</xdr:row>
      <xdr:rowOff>6</xdr:rowOff>
    </xdr:from>
    <xdr:to>
      <xdr:col>10</xdr:col>
      <xdr:colOff>463550</xdr:colOff>
      <xdr:row>644</xdr:row>
      <xdr:rowOff>165106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29F48E4A-563B-FDA0-BB96-810B9EED8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501650</xdr:colOff>
      <xdr:row>630</xdr:row>
      <xdr:rowOff>6</xdr:rowOff>
    </xdr:from>
    <xdr:to>
      <xdr:col>10</xdr:col>
      <xdr:colOff>463550</xdr:colOff>
      <xdr:row>644</xdr:row>
      <xdr:rowOff>165106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7A6FDA28-85C7-9122-A033-4CBFDF571D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2</xdr:row>
          <xdr:rowOff>57150</xdr:rowOff>
        </xdr:from>
        <xdr:to>
          <xdr:col>1</xdr:col>
          <xdr:colOff>787400</xdr:colOff>
          <xdr:row>3</xdr:row>
          <xdr:rowOff>158750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</xdr:row>
          <xdr:rowOff>57150</xdr:rowOff>
        </xdr:from>
        <xdr:to>
          <xdr:col>2</xdr:col>
          <xdr:colOff>939800</xdr:colOff>
          <xdr:row>3</xdr:row>
          <xdr:rowOff>146050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A2F18F-D6A3-456E-BDE0-73C44CA90E2C}" name="Tabla1" displayName="Tabla1" ref="A1:J1048576" totalsRowShown="0" headerRowDxfId="9">
  <autoFilter ref="A1:J1048576" xr:uid="{58A2F18F-D6A3-456E-BDE0-73C44CA90E2C}"/>
  <tableColumns count="10">
    <tableColumn id="1" xr3:uid="{2DBCDDDD-E8DA-4863-A3B2-7EA35968834D}" name="ID" dataDxfId="8"/>
    <tableColumn id="2" xr3:uid="{4C1C6701-58D1-4E83-80EE-B34A66830174}" name="Temperatura" dataDxfId="7"/>
    <tableColumn id="3" xr3:uid="{25A06B00-3428-4BB9-AE3D-06D4C152D53F}" name="Humidade" dataDxfId="6"/>
    <tableColumn id="4" xr3:uid="{CA1E1C90-3325-4C6B-AC29-7C572B3327ED}" name="AcX" dataDxfId="5"/>
    <tableColumn id="5" xr3:uid="{23E3411A-C95B-4117-B701-FB21778DC768}" name="AcY" dataDxfId="4"/>
    <tableColumn id="6" xr3:uid="{C62ECEB3-5227-4A60-860F-A218856EB111}" name="AcZ" dataDxfId="3"/>
    <tableColumn id="7" xr3:uid="{CCB88DD8-74C7-4976-AF75-86FCB62FCD05}" name="GyX" dataDxfId="2"/>
    <tableColumn id="8" xr3:uid="{56A76F13-0045-4503-AAA7-049610CE6742}" name="GyY" dataDxfId="1"/>
    <tableColumn id="9" xr3:uid="{DF800CF7-0E29-42BD-8613-20101EC1DFD1}" name="GyZ" dataDxfId="0"/>
    <tableColumn id="10" xr3:uid="{28E46FBB-09DA-4CED-90A9-3474A963E7AD}" name="Ope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01E46-9DC9-4E62-9399-E55B06805097}">
  <sheetPr codeName="Hoja1"/>
  <dimension ref="A1:J639"/>
  <sheetViews>
    <sheetView topLeftCell="A631" workbookViewId="0">
      <selection activeCell="L4" sqref="L4"/>
    </sheetView>
  </sheetViews>
  <sheetFormatPr baseColWidth="10" defaultColWidth="8.7265625" defaultRowHeight="14.5" x14ac:dyDescent="0.35"/>
  <cols>
    <col min="1" max="1" width="8.7265625" style="2"/>
    <col min="2" max="2" width="14.81640625" style="2" customWidth="1"/>
    <col min="3" max="3" width="12.26953125" style="2" customWidth="1"/>
    <col min="4" max="5" width="6.36328125" style="2" customWidth="1"/>
    <col min="6" max="6" width="13.1796875" style="2" customWidth="1"/>
    <col min="7" max="9" width="6.36328125" style="2" customWidth="1"/>
  </cols>
  <sheetData>
    <row r="1" spans="1:10" ht="15.5" x14ac:dyDescent="0.35">
      <c r="A1" s="6" t="s">
        <v>4</v>
      </c>
      <c r="B1" s="3" t="s">
        <v>0</v>
      </c>
      <c r="C1" s="3" t="s">
        <v>1</v>
      </c>
      <c r="D1" s="3" t="s">
        <v>6</v>
      </c>
      <c r="E1" s="3" t="s">
        <v>2</v>
      </c>
      <c r="F1" s="3" t="s">
        <v>3</v>
      </c>
      <c r="G1" s="3" t="s">
        <v>27</v>
      </c>
      <c r="H1" s="3" t="s">
        <v>28</v>
      </c>
      <c r="I1" s="3" t="s">
        <v>29</v>
      </c>
      <c r="J1" s="3" t="s">
        <v>5</v>
      </c>
    </row>
    <row r="2" spans="1:10" x14ac:dyDescent="0.35">
      <c r="A2" s="4">
        <v>1</v>
      </c>
      <c r="B2" s="2">
        <v>30</v>
      </c>
      <c r="C2" s="2">
        <v>72</v>
      </c>
      <c r="D2" s="2">
        <v>2984</v>
      </c>
      <c r="E2" s="2">
        <v>-5036</v>
      </c>
      <c r="F2" s="2">
        <v>13796</v>
      </c>
      <c r="G2" s="2">
        <v>-389</v>
      </c>
      <c r="H2" s="2">
        <v>238</v>
      </c>
      <c r="I2" s="2">
        <v>-240</v>
      </c>
      <c r="J2">
        <v>1</v>
      </c>
    </row>
    <row r="3" spans="1:10" x14ac:dyDescent="0.35">
      <c r="A3" s="4">
        <v>1</v>
      </c>
      <c r="B3" s="2">
        <v>30</v>
      </c>
      <c r="C3" s="2">
        <v>71</v>
      </c>
      <c r="D3" s="2">
        <v>2948</v>
      </c>
      <c r="E3" s="2">
        <v>-5140</v>
      </c>
      <c r="F3" s="2">
        <v>13836</v>
      </c>
      <c r="G3" s="2">
        <v>-245</v>
      </c>
      <c r="H3" s="2">
        <v>494</v>
      </c>
      <c r="I3" s="2">
        <v>-224</v>
      </c>
      <c r="J3">
        <v>1</v>
      </c>
    </row>
    <row r="4" spans="1:10" x14ac:dyDescent="0.35">
      <c r="A4" s="4">
        <v>1</v>
      </c>
      <c r="B4" s="2">
        <v>30</v>
      </c>
      <c r="C4" s="2">
        <v>71</v>
      </c>
      <c r="D4" s="2">
        <v>2916</v>
      </c>
      <c r="E4" s="2">
        <v>-5128</v>
      </c>
      <c r="F4" s="5">
        <v>13752</v>
      </c>
      <c r="G4" s="2">
        <v>-166</v>
      </c>
      <c r="H4" s="2">
        <v>346</v>
      </c>
      <c r="I4" s="2">
        <v>-247</v>
      </c>
      <c r="J4">
        <v>1</v>
      </c>
    </row>
    <row r="5" spans="1:10" x14ac:dyDescent="0.35">
      <c r="A5" s="4">
        <v>1</v>
      </c>
      <c r="B5" s="2">
        <v>30</v>
      </c>
      <c r="C5" s="2">
        <v>71</v>
      </c>
      <c r="D5" s="2">
        <v>2800</v>
      </c>
      <c r="E5" s="2">
        <v>-5184</v>
      </c>
      <c r="F5" s="2">
        <v>13748</v>
      </c>
      <c r="G5" s="2">
        <v>-260</v>
      </c>
      <c r="H5" s="2">
        <v>448</v>
      </c>
      <c r="I5" s="2">
        <v>-289</v>
      </c>
      <c r="J5">
        <v>1</v>
      </c>
    </row>
    <row r="6" spans="1:10" x14ac:dyDescent="0.35">
      <c r="A6" s="4">
        <v>1</v>
      </c>
      <c r="B6" s="2">
        <v>30</v>
      </c>
      <c r="C6" s="2">
        <v>71</v>
      </c>
      <c r="D6" s="2">
        <v>2784</v>
      </c>
      <c r="E6" s="2">
        <v>-5264</v>
      </c>
      <c r="F6" s="2">
        <v>13780</v>
      </c>
      <c r="G6" s="2">
        <v>-208</v>
      </c>
      <c r="H6" s="2">
        <v>396</v>
      </c>
      <c r="I6" s="2">
        <v>-246</v>
      </c>
      <c r="J6">
        <v>1</v>
      </c>
    </row>
    <row r="7" spans="1:10" x14ac:dyDescent="0.35">
      <c r="A7" s="4">
        <v>1</v>
      </c>
      <c r="B7" s="2">
        <v>30</v>
      </c>
      <c r="C7" s="2">
        <v>71</v>
      </c>
      <c r="D7" s="2">
        <v>3072</v>
      </c>
      <c r="E7" s="2">
        <v>-5392</v>
      </c>
      <c r="F7" s="2">
        <v>13728</v>
      </c>
      <c r="G7" s="2">
        <v>-294</v>
      </c>
      <c r="H7" s="2">
        <v>271</v>
      </c>
      <c r="I7" s="2">
        <v>-383</v>
      </c>
      <c r="J7">
        <v>1</v>
      </c>
    </row>
    <row r="8" spans="1:10" x14ac:dyDescent="0.35">
      <c r="A8" s="4">
        <v>1</v>
      </c>
      <c r="B8" s="2">
        <v>30.1</v>
      </c>
      <c r="C8" s="2">
        <v>71</v>
      </c>
      <c r="D8" s="2">
        <v>2852</v>
      </c>
      <c r="E8" s="2">
        <v>-5592</v>
      </c>
      <c r="F8" s="2">
        <v>13848</v>
      </c>
      <c r="G8" s="2">
        <v>-292</v>
      </c>
      <c r="H8" s="2">
        <v>269</v>
      </c>
      <c r="I8" s="2">
        <v>-293</v>
      </c>
      <c r="J8">
        <v>1</v>
      </c>
    </row>
    <row r="9" spans="1:10" x14ac:dyDescent="0.35">
      <c r="A9" s="4">
        <v>1</v>
      </c>
      <c r="B9" s="2">
        <v>30</v>
      </c>
      <c r="C9" s="2">
        <v>70</v>
      </c>
      <c r="D9" s="2">
        <v>2888</v>
      </c>
      <c r="E9" s="2">
        <v>-5236</v>
      </c>
      <c r="F9" s="2">
        <v>13716</v>
      </c>
      <c r="G9" s="2">
        <v>-258</v>
      </c>
      <c r="H9" s="2">
        <v>400</v>
      </c>
      <c r="I9" s="2">
        <v>-256</v>
      </c>
      <c r="J9">
        <v>1</v>
      </c>
    </row>
    <row r="10" spans="1:10" x14ac:dyDescent="0.35">
      <c r="A10" s="4">
        <v>1</v>
      </c>
      <c r="B10" s="2">
        <v>30.2</v>
      </c>
      <c r="C10" s="4">
        <v>70</v>
      </c>
      <c r="D10" s="2">
        <v>2912</v>
      </c>
      <c r="E10" s="2">
        <v>-5140</v>
      </c>
      <c r="F10" s="2">
        <v>13788</v>
      </c>
      <c r="G10" s="2">
        <v>-251</v>
      </c>
      <c r="H10" s="2">
        <v>478</v>
      </c>
      <c r="I10" s="2">
        <v>-261</v>
      </c>
      <c r="J10">
        <v>1</v>
      </c>
    </row>
    <row r="11" spans="1:10" x14ac:dyDescent="0.35">
      <c r="A11" s="4">
        <v>1</v>
      </c>
      <c r="B11" s="2">
        <v>30.1</v>
      </c>
      <c r="C11" s="2">
        <v>70</v>
      </c>
      <c r="D11" s="2">
        <v>2880</v>
      </c>
      <c r="E11" s="2">
        <v>-5100</v>
      </c>
      <c r="F11" s="2">
        <v>13772</v>
      </c>
      <c r="G11" s="2">
        <v>-215</v>
      </c>
      <c r="H11" s="2">
        <v>366</v>
      </c>
      <c r="I11" s="2">
        <v>-231</v>
      </c>
      <c r="J11">
        <v>1</v>
      </c>
    </row>
    <row r="12" spans="1:10" x14ac:dyDescent="0.35">
      <c r="A12" s="4">
        <v>1</v>
      </c>
      <c r="B12" s="2">
        <v>30</v>
      </c>
      <c r="C12" s="2">
        <v>70</v>
      </c>
      <c r="D12" s="2">
        <v>2868</v>
      </c>
      <c r="E12" s="2">
        <v>-5308</v>
      </c>
      <c r="F12" s="2">
        <v>13716</v>
      </c>
      <c r="G12" s="2">
        <v>-236</v>
      </c>
      <c r="H12" s="2">
        <v>343</v>
      </c>
      <c r="I12" s="2">
        <v>-292</v>
      </c>
      <c r="J12">
        <v>1</v>
      </c>
    </row>
    <row r="13" spans="1:10" x14ac:dyDescent="0.35">
      <c r="A13" s="4">
        <v>1</v>
      </c>
      <c r="B13" s="2">
        <v>30.1</v>
      </c>
      <c r="C13" s="2">
        <v>69</v>
      </c>
      <c r="D13" s="2">
        <v>2964</v>
      </c>
      <c r="E13" s="2">
        <v>-5140</v>
      </c>
      <c r="F13" s="2">
        <v>13932</v>
      </c>
      <c r="G13" s="2">
        <v>-262</v>
      </c>
      <c r="H13" s="2">
        <v>455</v>
      </c>
      <c r="I13" s="2">
        <v>-233</v>
      </c>
      <c r="J13">
        <v>1</v>
      </c>
    </row>
    <row r="14" spans="1:10" x14ac:dyDescent="0.35">
      <c r="A14" s="4">
        <v>1</v>
      </c>
      <c r="B14" s="2">
        <v>30.2</v>
      </c>
      <c r="C14" s="2">
        <v>70</v>
      </c>
      <c r="D14" s="2">
        <v>2976</v>
      </c>
      <c r="E14" s="2">
        <v>-5332</v>
      </c>
      <c r="F14" s="2">
        <v>13784</v>
      </c>
      <c r="G14" s="2">
        <v>-214</v>
      </c>
      <c r="H14" s="2">
        <v>386</v>
      </c>
      <c r="I14" s="2">
        <v>-292</v>
      </c>
      <c r="J14">
        <v>1</v>
      </c>
    </row>
    <row r="15" spans="1:10" x14ac:dyDescent="0.35">
      <c r="A15" s="4">
        <v>1</v>
      </c>
      <c r="B15" s="2">
        <v>30.1</v>
      </c>
      <c r="C15" s="2">
        <v>70</v>
      </c>
      <c r="D15" s="2">
        <v>2928</v>
      </c>
      <c r="E15" s="2">
        <v>-5208</v>
      </c>
      <c r="F15" s="2">
        <v>13884</v>
      </c>
      <c r="G15" s="2">
        <v>-287</v>
      </c>
      <c r="H15" s="2">
        <v>338</v>
      </c>
      <c r="I15" s="2">
        <v>-375</v>
      </c>
      <c r="J15">
        <v>1</v>
      </c>
    </row>
    <row r="16" spans="1:10" x14ac:dyDescent="0.35">
      <c r="A16" s="4">
        <v>1</v>
      </c>
      <c r="B16" s="2">
        <v>30.2</v>
      </c>
      <c r="C16" s="2">
        <v>70</v>
      </c>
      <c r="D16" s="2">
        <v>2856</v>
      </c>
      <c r="E16" s="2">
        <v>-5156</v>
      </c>
      <c r="F16" s="2">
        <v>13876</v>
      </c>
      <c r="G16" s="2">
        <v>-228</v>
      </c>
      <c r="H16" s="2">
        <v>373</v>
      </c>
      <c r="I16" s="2">
        <v>-278</v>
      </c>
      <c r="J16">
        <v>1</v>
      </c>
    </row>
    <row r="17" spans="1:10" x14ac:dyDescent="0.35">
      <c r="A17" s="4">
        <v>1</v>
      </c>
      <c r="B17" s="2">
        <v>30.2</v>
      </c>
      <c r="C17" s="2">
        <v>70</v>
      </c>
      <c r="D17" s="2">
        <v>2772</v>
      </c>
      <c r="E17" s="2">
        <v>-5280</v>
      </c>
      <c r="F17" s="2">
        <v>13688</v>
      </c>
      <c r="G17" s="2">
        <v>-223</v>
      </c>
      <c r="H17" s="2">
        <v>418</v>
      </c>
      <c r="I17" s="2">
        <v>-248</v>
      </c>
      <c r="J17">
        <v>1</v>
      </c>
    </row>
    <row r="18" spans="1:10" x14ac:dyDescent="0.35">
      <c r="A18" s="4">
        <v>1</v>
      </c>
      <c r="B18" s="2">
        <v>30.1</v>
      </c>
      <c r="C18" s="2">
        <v>70</v>
      </c>
      <c r="D18" s="2">
        <v>2868</v>
      </c>
      <c r="E18" s="2">
        <v>-5216</v>
      </c>
      <c r="F18" s="2">
        <v>13776</v>
      </c>
      <c r="G18" s="2">
        <v>-218</v>
      </c>
      <c r="H18" s="2">
        <v>317</v>
      </c>
      <c r="I18" s="2">
        <v>-273</v>
      </c>
      <c r="J18">
        <v>1</v>
      </c>
    </row>
    <row r="19" spans="1:10" x14ac:dyDescent="0.35">
      <c r="A19" s="4">
        <v>1</v>
      </c>
      <c r="B19" s="2">
        <v>30.2</v>
      </c>
      <c r="C19" s="2">
        <v>70</v>
      </c>
      <c r="D19" s="2">
        <v>2940</v>
      </c>
      <c r="E19" s="2">
        <v>-5156</v>
      </c>
      <c r="F19" s="2">
        <v>13812</v>
      </c>
      <c r="G19" s="2">
        <v>-199</v>
      </c>
      <c r="H19" s="2">
        <v>314</v>
      </c>
      <c r="I19" s="2">
        <v>-251</v>
      </c>
      <c r="J19">
        <v>1</v>
      </c>
    </row>
    <row r="20" spans="1:10" x14ac:dyDescent="0.35">
      <c r="A20" s="4">
        <v>1</v>
      </c>
      <c r="B20" s="2">
        <v>30.2</v>
      </c>
      <c r="C20" s="2">
        <v>70</v>
      </c>
      <c r="D20" s="2">
        <v>2972</v>
      </c>
      <c r="E20" s="2">
        <v>-5232</v>
      </c>
      <c r="F20" s="2">
        <v>13868</v>
      </c>
      <c r="G20" s="2">
        <v>-302</v>
      </c>
      <c r="H20" s="2">
        <v>501</v>
      </c>
      <c r="I20" s="2">
        <v>-272</v>
      </c>
      <c r="J20">
        <v>1</v>
      </c>
    </row>
    <row r="21" spans="1:10" x14ac:dyDescent="0.35">
      <c r="A21" s="4">
        <v>1</v>
      </c>
      <c r="B21" s="2">
        <v>30.2</v>
      </c>
      <c r="C21" s="2">
        <v>70</v>
      </c>
      <c r="D21" s="2">
        <v>2952</v>
      </c>
      <c r="E21" s="2">
        <v>-5224</v>
      </c>
      <c r="F21" s="2">
        <v>13800</v>
      </c>
      <c r="G21" s="2">
        <v>-210</v>
      </c>
      <c r="H21" s="2">
        <v>312</v>
      </c>
      <c r="I21" s="2">
        <v>-251</v>
      </c>
      <c r="J21">
        <v>1</v>
      </c>
    </row>
    <row r="22" spans="1:10" x14ac:dyDescent="0.35">
      <c r="A22" s="4">
        <v>1</v>
      </c>
      <c r="B22" s="2">
        <v>30.2</v>
      </c>
      <c r="C22" s="2">
        <v>70</v>
      </c>
      <c r="D22" s="2">
        <v>2988</v>
      </c>
      <c r="E22" s="2">
        <v>-5200</v>
      </c>
      <c r="F22" s="2">
        <v>13836</v>
      </c>
      <c r="G22" s="2">
        <v>-190</v>
      </c>
      <c r="H22" s="2">
        <v>288</v>
      </c>
      <c r="I22" s="2">
        <v>-246</v>
      </c>
      <c r="J22">
        <v>1</v>
      </c>
    </row>
    <row r="23" spans="1:10" x14ac:dyDescent="0.35">
      <c r="A23" s="4">
        <v>1</v>
      </c>
      <c r="B23" s="2">
        <v>30.2</v>
      </c>
      <c r="C23" s="2">
        <v>70</v>
      </c>
      <c r="D23" s="2">
        <v>2784</v>
      </c>
      <c r="E23" s="2">
        <v>-5260</v>
      </c>
      <c r="F23" s="2">
        <v>13716</v>
      </c>
      <c r="G23" s="2">
        <v>-229</v>
      </c>
      <c r="H23" s="2">
        <v>295</v>
      </c>
      <c r="I23" s="2">
        <v>-238</v>
      </c>
      <c r="J23" s="1">
        <v>1</v>
      </c>
    </row>
    <row r="24" spans="1:10" x14ac:dyDescent="0.35">
      <c r="A24" s="4">
        <v>1</v>
      </c>
      <c r="B24" s="2">
        <v>30.2</v>
      </c>
      <c r="C24" s="2">
        <v>71</v>
      </c>
      <c r="D24" s="2">
        <v>2852</v>
      </c>
      <c r="E24" s="2">
        <v>-5204</v>
      </c>
      <c r="F24" s="2">
        <v>13816</v>
      </c>
      <c r="G24" s="2">
        <v>-235</v>
      </c>
      <c r="H24" s="2">
        <v>291</v>
      </c>
      <c r="I24" s="2">
        <v>-287</v>
      </c>
      <c r="J24">
        <v>1</v>
      </c>
    </row>
    <row r="25" spans="1:10" x14ac:dyDescent="0.35">
      <c r="A25" s="4">
        <v>1</v>
      </c>
      <c r="B25" s="2">
        <v>30.2</v>
      </c>
      <c r="C25" s="2">
        <v>70</v>
      </c>
      <c r="D25" s="2">
        <v>2820</v>
      </c>
      <c r="E25" s="2">
        <v>-5236</v>
      </c>
      <c r="F25" s="2">
        <v>13696</v>
      </c>
      <c r="G25" s="2">
        <v>-230</v>
      </c>
      <c r="H25" s="2">
        <v>335</v>
      </c>
      <c r="I25" s="2">
        <v>-235</v>
      </c>
      <c r="J25">
        <v>1</v>
      </c>
    </row>
    <row r="26" spans="1:10" x14ac:dyDescent="0.35">
      <c r="A26" s="4">
        <v>1</v>
      </c>
      <c r="B26" s="2">
        <v>30.1</v>
      </c>
      <c r="C26" s="2">
        <v>71</v>
      </c>
      <c r="D26" s="2">
        <v>2840</v>
      </c>
      <c r="E26" s="2">
        <v>-5204</v>
      </c>
      <c r="F26" s="2">
        <v>13708</v>
      </c>
      <c r="G26" s="2">
        <v>-218</v>
      </c>
      <c r="H26" s="2">
        <v>291</v>
      </c>
      <c r="I26" s="2">
        <v>-251</v>
      </c>
      <c r="J26">
        <v>1</v>
      </c>
    </row>
    <row r="27" spans="1:10" x14ac:dyDescent="0.35">
      <c r="A27" s="4">
        <v>1</v>
      </c>
      <c r="B27" s="2">
        <v>30.2</v>
      </c>
      <c r="C27" s="2">
        <v>71</v>
      </c>
      <c r="D27" s="2">
        <v>2788</v>
      </c>
      <c r="E27" s="2">
        <v>-5264</v>
      </c>
      <c r="F27" s="2">
        <v>13784</v>
      </c>
      <c r="G27" s="2">
        <v>-213</v>
      </c>
      <c r="H27" s="2">
        <v>256</v>
      </c>
      <c r="I27" s="2">
        <v>-240</v>
      </c>
      <c r="J27">
        <v>1</v>
      </c>
    </row>
    <row r="28" spans="1:10" x14ac:dyDescent="0.35">
      <c r="A28" s="4">
        <v>1</v>
      </c>
      <c r="B28" s="2">
        <v>30.2</v>
      </c>
      <c r="C28" s="2">
        <v>71</v>
      </c>
      <c r="D28" s="2">
        <v>2872</v>
      </c>
      <c r="E28" s="2">
        <v>-5164</v>
      </c>
      <c r="F28" s="2">
        <v>13852</v>
      </c>
      <c r="G28" s="2">
        <v>-226</v>
      </c>
      <c r="H28" s="2">
        <v>406</v>
      </c>
      <c r="I28" s="2">
        <v>-235</v>
      </c>
      <c r="J28">
        <v>1</v>
      </c>
    </row>
    <row r="29" spans="1:10" x14ac:dyDescent="0.35">
      <c r="A29" s="4">
        <v>1</v>
      </c>
      <c r="B29" s="2">
        <v>30.2</v>
      </c>
      <c r="C29" s="2">
        <v>71</v>
      </c>
      <c r="D29" s="2">
        <v>3320</v>
      </c>
      <c r="E29" s="2">
        <v>-5376</v>
      </c>
      <c r="F29" s="2">
        <v>13736</v>
      </c>
      <c r="G29" s="2">
        <v>-186</v>
      </c>
      <c r="H29" s="2">
        <v>-323</v>
      </c>
      <c r="I29" s="2">
        <v>-378</v>
      </c>
      <c r="J29">
        <v>1</v>
      </c>
    </row>
    <row r="30" spans="1:10" x14ac:dyDescent="0.35">
      <c r="A30" s="2">
        <v>2</v>
      </c>
      <c r="B30" s="2">
        <v>29.6</v>
      </c>
      <c r="C30" s="2">
        <v>72</v>
      </c>
      <c r="D30" s="2">
        <v>3244</v>
      </c>
      <c r="E30" s="2">
        <v>-6600</v>
      </c>
      <c r="F30" s="2">
        <v>13856</v>
      </c>
      <c r="G30" s="2">
        <v>-1266</v>
      </c>
      <c r="H30" s="2">
        <v>1047</v>
      </c>
      <c r="I30" s="2">
        <v>-658</v>
      </c>
      <c r="J30">
        <v>1</v>
      </c>
    </row>
    <row r="31" spans="1:10" x14ac:dyDescent="0.35">
      <c r="A31" s="2">
        <v>2</v>
      </c>
      <c r="B31" s="2">
        <v>29.8</v>
      </c>
      <c r="C31" s="2">
        <v>72</v>
      </c>
      <c r="D31" s="2">
        <v>3020</v>
      </c>
      <c r="E31" s="2">
        <v>-5368</v>
      </c>
      <c r="F31" s="2">
        <v>13752</v>
      </c>
      <c r="G31" s="2">
        <v>-349</v>
      </c>
      <c r="H31" s="2">
        <v>760</v>
      </c>
      <c r="I31" s="2">
        <v>-219</v>
      </c>
      <c r="J31">
        <v>1</v>
      </c>
    </row>
    <row r="32" spans="1:10" x14ac:dyDescent="0.35">
      <c r="A32" s="2">
        <v>2</v>
      </c>
      <c r="B32" s="2">
        <v>29.8</v>
      </c>
      <c r="C32" s="2">
        <v>72</v>
      </c>
      <c r="D32" s="2">
        <v>2732</v>
      </c>
      <c r="E32" s="2">
        <v>-5304</v>
      </c>
      <c r="F32" s="2">
        <v>13760</v>
      </c>
      <c r="G32" s="2">
        <v>-203</v>
      </c>
      <c r="H32" s="2">
        <v>320</v>
      </c>
      <c r="I32" s="2">
        <v>-249</v>
      </c>
      <c r="J32">
        <v>1</v>
      </c>
    </row>
    <row r="33" spans="1:10" x14ac:dyDescent="0.35">
      <c r="A33" s="2">
        <v>2</v>
      </c>
      <c r="B33" s="2">
        <v>30</v>
      </c>
      <c r="C33" s="2">
        <v>71</v>
      </c>
      <c r="D33" s="2">
        <v>2684</v>
      </c>
      <c r="E33" s="2">
        <v>-5528</v>
      </c>
      <c r="F33" s="2">
        <v>13772</v>
      </c>
      <c r="G33" s="2">
        <v>-261</v>
      </c>
      <c r="H33" s="2">
        <v>283</v>
      </c>
      <c r="I33" s="2">
        <v>-221</v>
      </c>
      <c r="J33">
        <v>1</v>
      </c>
    </row>
    <row r="34" spans="1:10" x14ac:dyDescent="0.35">
      <c r="A34" s="2">
        <v>2</v>
      </c>
      <c r="B34" s="2">
        <v>30</v>
      </c>
      <c r="C34" s="2">
        <v>71</v>
      </c>
      <c r="D34" s="2">
        <v>2588</v>
      </c>
      <c r="E34" s="2">
        <v>-5740</v>
      </c>
      <c r="F34" s="2">
        <v>13772</v>
      </c>
      <c r="G34" s="2">
        <v>-648</v>
      </c>
      <c r="H34" s="2">
        <v>313</v>
      </c>
      <c r="I34" s="2">
        <v>-218</v>
      </c>
      <c r="J34">
        <v>1</v>
      </c>
    </row>
    <row r="35" spans="1:10" x14ac:dyDescent="0.35">
      <c r="A35" s="2">
        <v>2</v>
      </c>
      <c r="B35" s="2">
        <v>30</v>
      </c>
      <c r="C35" s="2">
        <v>71</v>
      </c>
      <c r="D35" s="2">
        <v>2580</v>
      </c>
      <c r="E35" s="2">
        <v>-5472</v>
      </c>
      <c r="F35" s="2">
        <v>14304</v>
      </c>
      <c r="G35" s="2">
        <v>-192</v>
      </c>
      <c r="H35" s="2">
        <v>278</v>
      </c>
      <c r="I35" s="2">
        <v>-237</v>
      </c>
      <c r="J35">
        <v>1</v>
      </c>
    </row>
    <row r="36" spans="1:10" x14ac:dyDescent="0.35">
      <c r="A36" s="2">
        <v>2</v>
      </c>
      <c r="B36" s="2">
        <v>30</v>
      </c>
      <c r="C36" s="2">
        <v>71</v>
      </c>
      <c r="D36" s="2">
        <v>2572</v>
      </c>
      <c r="E36" s="2">
        <v>-5560</v>
      </c>
      <c r="F36" s="2">
        <v>13720</v>
      </c>
      <c r="G36" s="2">
        <v>-233</v>
      </c>
      <c r="H36" s="2">
        <v>285</v>
      </c>
      <c r="I36" s="2">
        <v>-239</v>
      </c>
      <c r="J36">
        <v>1</v>
      </c>
    </row>
    <row r="37" spans="1:10" x14ac:dyDescent="0.35">
      <c r="A37" s="2">
        <v>2</v>
      </c>
      <c r="B37" s="2">
        <v>30.1</v>
      </c>
      <c r="C37" s="2">
        <v>72</v>
      </c>
      <c r="D37" s="2">
        <v>2684</v>
      </c>
      <c r="E37" s="2">
        <v>-5544</v>
      </c>
      <c r="F37" s="2">
        <v>13812</v>
      </c>
      <c r="G37" s="2">
        <v>-221</v>
      </c>
      <c r="H37" s="2">
        <v>315</v>
      </c>
      <c r="I37" s="2">
        <v>-239</v>
      </c>
      <c r="J37">
        <v>1</v>
      </c>
    </row>
    <row r="38" spans="1:10" x14ac:dyDescent="0.35">
      <c r="A38" s="2">
        <v>2</v>
      </c>
      <c r="B38" s="2">
        <v>30</v>
      </c>
      <c r="C38" s="2">
        <v>73</v>
      </c>
      <c r="D38" s="2">
        <v>2800</v>
      </c>
      <c r="E38" s="2">
        <v>-5600</v>
      </c>
      <c r="F38" s="2">
        <v>13588</v>
      </c>
      <c r="G38" s="2">
        <v>-366</v>
      </c>
      <c r="H38" s="2">
        <v>262</v>
      </c>
      <c r="I38" s="2">
        <v>-331</v>
      </c>
      <c r="J38">
        <v>1</v>
      </c>
    </row>
    <row r="39" spans="1:10" x14ac:dyDescent="0.35">
      <c r="A39" s="2">
        <v>2</v>
      </c>
      <c r="B39" s="2">
        <v>30</v>
      </c>
      <c r="C39" s="2">
        <v>72</v>
      </c>
      <c r="D39" s="2">
        <v>2736</v>
      </c>
      <c r="E39" s="2">
        <v>-5724</v>
      </c>
      <c r="F39" s="2">
        <v>14188</v>
      </c>
      <c r="G39" s="2">
        <v>-283</v>
      </c>
      <c r="H39" s="2">
        <v>868</v>
      </c>
      <c r="I39" s="2">
        <v>-454</v>
      </c>
      <c r="J39">
        <v>1</v>
      </c>
    </row>
    <row r="40" spans="1:10" x14ac:dyDescent="0.35">
      <c r="A40" s="2">
        <v>2</v>
      </c>
      <c r="B40" s="2">
        <v>30</v>
      </c>
      <c r="C40" s="2">
        <v>72</v>
      </c>
      <c r="D40" s="2">
        <v>2572</v>
      </c>
      <c r="E40" s="2">
        <v>-5616</v>
      </c>
      <c r="F40" s="2">
        <v>13944</v>
      </c>
      <c r="G40" s="2">
        <v>-207</v>
      </c>
      <c r="H40" s="2">
        <v>469</v>
      </c>
      <c r="I40" s="2">
        <v>-303</v>
      </c>
      <c r="J40">
        <v>1</v>
      </c>
    </row>
    <row r="41" spans="1:10" x14ac:dyDescent="0.35">
      <c r="A41" s="2">
        <v>2</v>
      </c>
      <c r="B41" s="2">
        <v>30</v>
      </c>
      <c r="C41" s="2">
        <v>72</v>
      </c>
      <c r="D41" s="2">
        <v>2888</v>
      </c>
      <c r="E41" s="2">
        <v>-5476</v>
      </c>
      <c r="F41" s="2">
        <v>14036</v>
      </c>
      <c r="G41" s="2">
        <v>251</v>
      </c>
      <c r="H41" s="2">
        <v>425</v>
      </c>
      <c r="I41" s="2">
        <v>-401</v>
      </c>
      <c r="J41">
        <v>1</v>
      </c>
    </row>
    <row r="42" spans="1:10" x14ac:dyDescent="0.35">
      <c r="A42" s="2">
        <v>2</v>
      </c>
      <c r="B42" s="2">
        <v>30</v>
      </c>
      <c r="C42" s="2">
        <v>72</v>
      </c>
      <c r="D42" s="2">
        <v>2892</v>
      </c>
      <c r="E42" s="2">
        <v>-5600</v>
      </c>
      <c r="F42" s="2">
        <v>13684</v>
      </c>
      <c r="G42" s="2">
        <v>-226</v>
      </c>
      <c r="H42" s="2">
        <v>321</v>
      </c>
      <c r="I42" s="2">
        <v>-301</v>
      </c>
      <c r="J42">
        <v>1</v>
      </c>
    </row>
    <row r="43" spans="1:10" x14ac:dyDescent="0.35">
      <c r="A43" s="2">
        <v>2</v>
      </c>
      <c r="B43" s="2">
        <v>30</v>
      </c>
      <c r="C43" s="2">
        <v>72</v>
      </c>
      <c r="D43" s="2">
        <v>2644</v>
      </c>
      <c r="E43" s="2">
        <v>-5564</v>
      </c>
      <c r="F43" s="2">
        <v>13748</v>
      </c>
      <c r="G43" s="2">
        <v>-227</v>
      </c>
      <c r="H43" s="2">
        <v>246</v>
      </c>
      <c r="I43" s="2">
        <v>-256</v>
      </c>
      <c r="J43">
        <v>1</v>
      </c>
    </row>
    <row r="44" spans="1:10" x14ac:dyDescent="0.35">
      <c r="A44" s="2">
        <v>2</v>
      </c>
      <c r="B44" s="2">
        <v>30</v>
      </c>
      <c r="C44" s="2">
        <v>71</v>
      </c>
      <c r="D44" s="2">
        <v>2612</v>
      </c>
      <c r="E44" s="2">
        <v>-5504</v>
      </c>
      <c r="F44" s="2">
        <v>14140</v>
      </c>
      <c r="G44" s="2">
        <v>-661</v>
      </c>
      <c r="H44" s="2">
        <v>557</v>
      </c>
      <c r="I44" s="2">
        <v>-583</v>
      </c>
      <c r="J44">
        <v>1</v>
      </c>
    </row>
    <row r="45" spans="1:10" x14ac:dyDescent="0.35">
      <c r="A45" s="2">
        <v>2</v>
      </c>
      <c r="B45" s="2">
        <v>30.2</v>
      </c>
      <c r="C45" s="2">
        <v>70</v>
      </c>
      <c r="D45" s="2">
        <v>2784</v>
      </c>
      <c r="E45" s="2">
        <v>-5348</v>
      </c>
      <c r="F45" s="2">
        <v>13808</v>
      </c>
      <c r="G45" s="2">
        <v>-308</v>
      </c>
      <c r="H45" s="2">
        <v>357</v>
      </c>
      <c r="I45" s="2">
        <v>-263</v>
      </c>
      <c r="J45">
        <v>1</v>
      </c>
    </row>
    <row r="46" spans="1:10" x14ac:dyDescent="0.35">
      <c r="A46" s="2">
        <v>2</v>
      </c>
      <c r="B46" s="2">
        <v>30.1</v>
      </c>
      <c r="C46" s="2">
        <v>70</v>
      </c>
      <c r="D46" s="2">
        <v>2532</v>
      </c>
      <c r="E46" s="2">
        <v>-5476</v>
      </c>
      <c r="F46" s="2">
        <v>13808</v>
      </c>
      <c r="G46" s="2">
        <v>-322</v>
      </c>
      <c r="H46" s="2">
        <v>397</v>
      </c>
      <c r="I46" s="2">
        <v>-231</v>
      </c>
      <c r="J46">
        <v>1</v>
      </c>
    </row>
    <row r="47" spans="1:10" x14ac:dyDescent="0.35">
      <c r="A47" s="2">
        <v>2</v>
      </c>
      <c r="B47" s="2">
        <v>30</v>
      </c>
      <c r="C47" s="2">
        <v>70</v>
      </c>
      <c r="D47" s="2">
        <v>2656</v>
      </c>
      <c r="E47" s="2">
        <v>-5416</v>
      </c>
      <c r="F47" s="2">
        <v>13760</v>
      </c>
      <c r="G47" s="2">
        <v>-202</v>
      </c>
      <c r="H47" s="2">
        <v>298</v>
      </c>
      <c r="I47" s="2">
        <v>-245</v>
      </c>
      <c r="J47">
        <v>1</v>
      </c>
    </row>
    <row r="48" spans="1:10" x14ac:dyDescent="0.35">
      <c r="A48" s="2">
        <v>2</v>
      </c>
      <c r="B48" s="2">
        <v>30</v>
      </c>
      <c r="C48" s="2">
        <v>71</v>
      </c>
      <c r="D48" s="2">
        <v>2664</v>
      </c>
      <c r="E48" s="2">
        <v>-5416</v>
      </c>
      <c r="F48" s="2">
        <v>13828</v>
      </c>
      <c r="G48" s="2">
        <v>-191</v>
      </c>
      <c r="H48" s="2">
        <v>297</v>
      </c>
      <c r="I48" s="2">
        <v>-252</v>
      </c>
      <c r="J48">
        <v>1</v>
      </c>
    </row>
    <row r="49" spans="1:10" x14ac:dyDescent="0.35">
      <c r="A49" s="2">
        <v>2</v>
      </c>
      <c r="B49" s="2">
        <v>30</v>
      </c>
      <c r="C49" s="2">
        <v>71</v>
      </c>
      <c r="D49" s="2">
        <v>2544</v>
      </c>
      <c r="E49" s="2">
        <v>-5456</v>
      </c>
      <c r="F49" s="2">
        <v>13704</v>
      </c>
      <c r="G49" s="2">
        <v>-179</v>
      </c>
      <c r="H49" s="2">
        <v>322</v>
      </c>
      <c r="I49" s="2">
        <v>-235</v>
      </c>
      <c r="J49">
        <v>1</v>
      </c>
    </row>
    <row r="50" spans="1:10" x14ac:dyDescent="0.35">
      <c r="A50" s="2">
        <v>2</v>
      </c>
      <c r="B50" s="2">
        <v>30</v>
      </c>
      <c r="C50" s="2">
        <v>70</v>
      </c>
      <c r="D50" s="2">
        <v>2604</v>
      </c>
      <c r="E50" s="2">
        <v>-5436</v>
      </c>
      <c r="F50" s="2">
        <v>13784</v>
      </c>
      <c r="G50" s="2">
        <v>-250</v>
      </c>
      <c r="H50" s="2">
        <v>304</v>
      </c>
      <c r="I50" s="2">
        <v>-237</v>
      </c>
      <c r="J50">
        <v>1</v>
      </c>
    </row>
    <row r="51" spans="1:10" x14ac:dyDescent="0.35">
      <c r="A51" s="2">
        <v>2</v>
      </c>
      <c r="B51" s="2">
        <v>30.2</v>
      </c>
      <c r="C51" s="2">
        <v>70</v>
      </c>
      <c r="D51" s="2">
        <v>2572</v>
      </c>
      <c r="E51" s="2">
        <v>-5408</v>
      </c>
      <c r="F51" s="2">
        <v>13768</v>
      </c>
      <c r="G51" s="2">
        <v>-194</v>
      </c>
      <c r="H51" s="2">
        <v>336</v>
      </c>
      <c r="I51" s="2">
        <v>-223</v>
      </c>
      <c r="J51">
        <v>1</v>
      </c>
    </row>
    <row r="52" spans="1:10" x14ac:dyDescent="0.35">
      <c r="A52" s="2">
        <v>2</v>
      </c>
      <c r="B52" s="2">
        <v>30</v>
      </c>
      <c r="C52" s="2">
        <v>70</v>
      </c>
      <c r="D52" s="2">
        <v>2628</v>
      </c>
      <c r="E52" s="2">
        <v>-5364</v>
      </c>
      <c r="F52" s="2">
        <v>13788</v>
      </c>
      <c r="G52" s="2">
        <v>-201</v>
      </c>
      <c r="H52" s="2">
        <v>305</v>
      </c>
      <c r="I52" s="2">
        <v>-232</v>
      </c>
      <c r="J52">
        <v>1</v>
      </c>
    </row>
    <row r="53" spans="1:10" x14ac:dyDescent="0.35">
      <c r="A53" s="2">
        <v>2</v>
      </c>
      <c r="B53" s="2">
        <v>30.1</v>
      </c>
      <c r="C53" s="2">
        <v>70</v>
      </c>
      <c r="D53" s="2">
        <v>2660</v>
      </c>
      <c r="E53" s="2">
        <v>-5448</v>
      </c>
      <c r="F53" s="2">
        <v>13696</v>
      </c>
      <c r="G53" s="2">
        <v>-242</v>
      </c>
      <c r="H53" s="2">
        <v>418</v>
      </c>
      <c r="I53" s="2">
        <v>-231</v>
      </c>
      <c r="J53">
        <v>1</v>
      </c>
    </row>
    <row r="54" spans="1:10" x14ac:dyDescent="0.35">
      <c r="A54" s="2">
        <v>2</v>
      </c>
      <c r="B54" s="2">
        <v>30.2</v>
      </c>
      <c r="C54" s="2">
        <v>70</v>
      </c>
      <c r="D54" s="2">
        <v>2564</v>
      </c>
      <c r="E54" s="2">
        <v>-5436</v>
      </c>
      <c r="F54" s="2">
        <v>13732</v>
      </c>
      <c r="G54" s="2">
        <v>-203</v>
      </c>
      <c r="H54" s="2">
        <v>237</v>
      </c>
      <c r="I54" s="2">
        <v>-285</v>
      </c>
      <c r="J54">
        <v>1</v>
      </c>
    </row>
    <row r="55" spans="1:10" x14ac:dyDescent="0.35">
      <c r="A55" s="2">
        <v>2</v>
      </c>
      <c r="B55" s="2">
        <v>30.2</v>
      </c>
      <c r="C55" s="2">
        <v>70</v>
      </c>
      <c r="D55" s="2">
        <v>2636</v>
      </c>
      <c r="E55" s="2">
        <v>-5464</v>
      </c>
      <c r="F55" s="2">
        <v>13720</v>
      </c>
      <c r="G55" s="2">
        <v>-212</v>
      </c>
      <c r="H55" s="2">
        <v>262</v>
      </c>
      <c r="I55" s="2">
        <v>-236</v>
      </c>
      <c r="J55">
        <v>1</v>
      </c>
    </row>
    <row r="56" spans="1:10" x14ac:dyDescent="0.35">
      <c r="A56" s="2">
        <v>2</v>
      </c>
      <c r="B56" s="2">
        <v>30.1</v>
      </c>
      <c r="C56" s="2">
        <v>69</v>
      </c>
      <c r="D56" s="2">
        <v>2772</v>
      </c>
      <c r="E56" s="2">
        <v>-5388</v>
      </c>
      <c r="F56" s="2">
        <v>13740</v>
      </c>
      <c r="G56" s="2">
        <v>-239</v>
      </c>
      <c r="H56" s="2">
        <v>743</v>
      </c>
      <c r="I56" s="2">
        <v>-274</v>
      </c>
      <c r="J56">
        <v>1</v>
      </c>
    </row>
    <row r="57" spans="1:10" x14ac:dyDescent="0.35">
      <c r="A57" s="2">
        <v>2</v>
      </c>
      <c r="B57" s="2">
        <v>30.2</v>
      </c>
      <c r="C57" s="2">
        <v>70</v>
      </c>
      <c r="D57" s="2">
        <v>2644</v>
      </c>
      <c r="E57" s="2">
        <v>-5420</v>
      </c>
      <c r="F57" s="2">
        <v>13692</v>
      </c>
      <c r="G57" s="2">
        <v>-200</v>
      </c>
      <c r="H57" s="2">
        <v>372</v>
      </c>
      <c r="I57" s="2">
        <v>-241</v>
      </c>
      <c r="J57">
        <v>1</v>
      </c>
    </row>
    <row r="58" spans="1:10" x14ac:dyDescent="0.35">
      <c r="A58" s="2">
        <v>2</v>
      </c>
      <c r="B58" s="2">
        <v>30.2</v>
      </c>
      <c r="C58" s="2">
        <v>69</v>
      </c>
      <c r="D58" s="2">
        <v>2600</v>
      </c>
      <c r="E58" s="2">
        <v>-5408</v>
      </c>
      <c r="F58" s="2">
        <v>13716</v>
      </c>
      <c r="G58" s="2">
        <v>-274</v>
      </c>
      <c r="H58" s="2">
        <v>476</v>
      </c>
      <c r="I58" s="2">
        <v>-234</v>
      </c>
      <c r="J58">
        <v>1</v>
      </c>
    </row>
    <row r="59" spans="1:10" x14ac:dyDescent="0.35">
      <c r="A59" s="2">
        <v>2</v>
      </c>
      <c r="B59" s="2">
        <v>30.1</v>
      </c>
      <c r="C59" s="2">
        <v>69</v>
      </c>
      <c r="D59" s="2">
        <v>2712</v>
      </c>
      <c r="E59" s="2">
        <v>-5476</v>
      </c>
      <c r="F59" s="2">
        <v>13792</v>
      </c>
      <c r="G59" s="2">
        <v>-215</v>
      </c>
      <c r="H59" s="2">
        <v>361</v>
      </c>
      <c r="I59" s="2">
        <v>-236</v>
      </c>
      <c r="J59">
        <v>1</v>
      </c>
    </row>
    <row r="60" spans="1:10" x14ac:dyDescent="0.35">
      <c r="A60" s="2">
        <v>2</v>
      </c>
      <c r="B60" s="2">
        <v>30</v>
      </c>
      <c r="C60" s="2">
        <v>69</v>
      </c>
      <c r="D60" s="2">
        <v>2708</v>
      </c>
      <c r="E60" s="2">
        <v>-5412</v>
      </c>
      <c r="F60" s="2">
        <v>14224</v>
      </c>
      <c r="G60" s="2">
        <v>-267</v>
      </c>
      <c r="H60" s="2">
        <v>334</v>
      </c>
      <c r="I60" s="2">
        <v>-259</v>
      </c>
      <c r="J60">
        <v>1</v>
      </c>
    </row>
    <row r="61" spans="1:10" x14ac:dyDescent="0.35">
      <c r="A61" s="2">
        <v>2</v>
      </c>
      <c r="B61" s="2">
        <v>30</v>
      </c>
      <c r="C61" s="2">
        <v>69</v>
      </c>
      <c r="D61" s="2">
        <v>2752</v>
      </c>
      <c r="E61" s="2">
        <v>-5348</v>
      </c>
      <c r="F61" s="2">
        <v>13980</v>
      </c>
      <c r="G61" s="2">
        <v>-225</v>
      </c>
      <c r="H61" s="2">
        <v>547</v>
      </c>
      <c r="I61" s="2">
        <v>-265</v>
      </c>
      <c r="J61">
        <v>1</v>
      </c>
    </row>
    <row r="62" spans="1:10" x14ac:dyDescent="0.35">
      <c r="A62" s="2">
        <v>2</v>
      </c>
      <c r="B62" s="2">
        <v>30.2</v>
      </c>
      <c r="C62" s="2">
        <v>69</v>
      </c>
      <c r="D62" s="2">
        <v>2580</v>
      </c>
      <c r="E62" s="2">
        <v>-5400</v>
      </c>
      <c r="F62" s="2">
        <v>13800</v>
      </c>
      <c r="G62" s="2">
        <v>-206</v>
      </c>
      <c r="H62" s="2">
        <v>265</v>
      </c>
      <c r="I62" s="2">
        <v>-265</v>
      </c>
      <c r="J62">
        <v>1</v>
      </c>
    </row>
    <row r="63" spans="1:10" x14ac:dyDescent="0.35">
      <c r="A63" s="2">
        <v>2</v>
      </c>
      <c r="B63" s="2">
        <v>30.1</v>
      </c>
      <c r="C63" s="2">
        <v>69</v>
      </c>
      <c r="D63" s="2">
        <v>2868</v>
      </c>
      <c r="E63" s="2">
        <v>-5508</v>
      </c>
      <c r="F63" s="2">
        <v>13656</v>
      </c>
      <c r="G63" s="2">
        <v>-224</v>
      </c>
      <c r="H63" s="2">
        <v>277</v>
      </c>
      <c r="I63" s="2">
        <v>-242</v>
      </c>
      <c r="J63">
        <v>1</v>
      </c>
    </row>
    <row r="64" spans="1:10" x14ac:dyDescent="0.35">
      <c r="A64" s="2">
        <v>2</v>
      </c>
      <c r="B64" s="2">
        <v>30.2</v>
      </c>
      <c r="C64" s="2">
        <v>69</v>
      </c>
      <c r="D64" s="2">
        <v>2624</v>
      </c>
      <c r="E64" s="2">
        <v>-5444</v>
      </c>
      <c r="F64" s="2">
        <v>13752</v>
      </c>
      <c r="G64" s="2">
        <v>-207</v>
      </c>
      <c r="H64" s="2">
        <v>280</v>
      </c>
      <c r="I64" s="2">
        <v>-254</v>
      </c>
      <c r="J64">
        <v>1</v>
      </c>
    </row>
    <row r="65" spans="1:10" x14ac:dyDescent="0.35">
      <c r="A65" s="2">
        <v>2</v>
      </c>
      <c r="B65" s="2">
        <v>30.3</v>
      </c>
      <c r="C65" s="2">
        <v>69</v>
      </c>
      <c r="D65" s="2">
        <v>2460</v>
      </c>
      <c r="E65" s="2">
        <v>-5512</v>
      </c>
      <c r="F65" s="2">
        <v>13756</v>
      </c>
      <c r="G65" s="2">
        <v>-384</v>
      </c>
      <c r="H65" s="2">
        <v>616</v>
      </c>
      <c r="I65" s="2">
        <v>-233</v>
      </c>
      <c r="J65">
        <v>1</v>
      </c>
    </row>
    <row r="66" spans="1:10" x14ac:dyDescent="0.35">
      <c r="A66" s="2">
        <v>2</v>
      </c>
      <c r="B66" s="2">
        <v>30.1</v>
      </c>
      <c r="C66" s="2">
        <v>69</v>
      </c>
      <c r="D66" s="2">
        <v>2548</v>
      </c>
      <c r="E66" s="2">
        <v>-5384</v>
      </c>
      <c r="F66" s="2">
        <v>13740</v>
      </c>
      <c r="G66" s="2">
        <v>-200</v>
      </c>
      <c r="H66" s="2">
        <v>320</v>
      </c>
      <c r="I66" s="2">
        <v>-240</v>
      </c>
      <c r="J66">
        <v>1</v>
      </c>
    </row>
    <row r="67" spans="1:10" x14ac:dyDescent="0.35">
      <c r="A67" s="2">
        <v>2</v>
      </c>
      <c r="B67" s="2">
        <v>30.2</v>
      </c>
      <c r="C67" s="2">
        <v>69</v>
      </c>
      <c r="D67" s="2">
        <v>2604</v>
      </c>
      <c r="E67" s="2">
        <v>-5444</v>
      </c>
      <c r="F67" s="2">
        <v>13824</v>
      </c>
      <c r="G67" s="2">
        <v>-224</v>
      </c>
      <c r="H67" s="2">
        <v>382</v>
      </c>
      <c r="I67" s="2">
        <v>-237</v>
      </c>
      <c r="J67">
        <v>1</v>
      </c>
    </row>
    <row r="68" spans="1:10" x14ac:dyDescent="0.35">
      <c r="A68" s="2">
        <v>2</v>
      </c>
      <c r="B68" s="2">
        <v>30.2</v>
      </c>
      <c r="C68" s="2">
        <v>69</v>
      </c>
      <c r="D68" s="2">
        <v>2556</v>
      </c>
      <c r="E68" s="2">
        <v>-5472</v>
      </c>
      <c r="F68" s="2">
        <v>13760</v>
      </c>
      <c r="G68" s="2">
        <v>-201</v>
      </c>
      <c r="H68" s="2">
        <v>291</v>
      </c>
      <c r="I68" s="2">
        <v>-223</v>
      </c>
      <c r="J68">
        <v>1</v>
      </c>
    </row>
    <row r="69" spans="1:10" x14ac:dyDescent="0.35">
      <c r="A69" s="2">
        <v>2</v>
      </c>
      <c r="B69" s="2">
        <v>30.2</v>
      </c>
      <c r="C69" s="2">
        <v>69</v>
      </c>
      <c r="D69" s="2">
        <v>2612</v>
      </c>
      <c r="E69" s="2">
        <v>-5444</v>
      </c>
      <c r="F69" s="2">
        <v>13712</v>
      </c>
      <c r="G69" s="2">
        <v>-179</v>
      </c>
      <c r="H69" s="2">
        <v>265</v>
      </c>
      <c r="I69" s="2">
        <v>-236</v>
      </c>
      <c r="J69">
        <v>1</v>
      </c>
    </row>
    <row r="70" spans="1:10" x14ac:dyDescent="0.35">
      <c r="A70" s="2">
        <v>2</v>
      </c>
      <c r="B70" s="2">
        <v>30.3</v>
      </c>
      <c r="C70" s="2">
        <v>69</v>
      </c>
      <c r="D70" s="2">
        <v>3876</v>
      </c>
      <c r="E70" s="2">
        <v>-5884</v>
      </c>
      <c r="F70" s="2">
        <v>13676</v>
      </c>
      <c r="G70" s="2">
        <v>-301</v>
      </c>
      <c r="H70" s="2">
        <v>1921</v>
      </c>
      <c r="I70" s="2">
        <v>-540</v>
      </c>
      <c r="J70">
        <v>1</v>
      </c>
    </row>
    <row r="71" spans="1:10" x14ac:dyDescent="0.35">
      <c r="A71" s="2">
        <v>2</v>
      </c>
      <c r="B71" s="2">
        <v>30.2</v>
      </c>
      <c r="C71" s="2">
        <v>69</v>
      </c>
      <c r="D71" s="2">
        <v>2520</v>
      </c>
      <c r="E71" s="2">
        <v>-5564</v>
      </c>
      <c r="F71" s="2">
        <v>13704</v>
      </c>
      <c r="G71" s="2">
        <v>-181</v>
      </c>
      <c r="H71" s="2">
        <v>348</v>
      </c>
      <c r="I71" s="2">
        <v>-259</v>
      </c>
      <c r="J71">
        <v>1</v>
      </c>
    </row>
    <row r="72" spans="1:10" x14ac:dyDescent="0.35">
      <c r="A72" s="2">
        <v>2</v>
      </c>
      <c r="B72" s="2">
        <v>30.2</v>
      </c>
      <c r="C72" s="2">
        <v>69</v>
      </c>
      <c r="D72" s="2">
        <v>2640</v>
      </c>
      <c r="E72" s="2">
        <v>-5680</v>
      </c>
      <c r="F72" s="2">
        <v>13716</v>
      </c>
      <c r="G72" s="2">
        <v>-175</v>
      </c>
      <c r="H72" s="2">
        <v>429</v>
      </c>
      <c r="I72" s="2">
        <v>-337</v>
      </c>
      <c r="J72">
        <v>1</v>
      </c>
    </row>
    <row r="73" spans="1:10" x14ac:dyDescent="0.35">
      <c r="A73" s="2">
        <v>2</v>
      </c>
      <c r="B73" s="2">
        <v>30.3</v>
      </c>
      <c r="C73" s="2">
        <v>69</v>
      </c>
      <c r="D73" s="2">
        <v>2660</v>
      </c>
      <c r="E73" s="2">
        <v>-5448</v>
      </c>
      <c r="F73" s="2">
        <v>13764</v>
      </c>
      <c r="G73" s="2">
        <v>-193</v>
      </c>
      <c r="H73" s="2">
        <v>282</v>
      </c>
      <c r="I73" s="2">
        <v>-242</v>
      </c>
      <c r="J73">
        <v>1</v>
      </c>
    </row>
    <row r="74" spans="1:10" x14ac:dyDescent="0.35">
      <c r="A74" s="2">
        <v>2</v>
      </c>
      <c r="B74" s="2">
        <v>30.3</v>
      </c>
      <c r="C74" s="2">
        <v>69</v>
      </c>
      <c r="D74" s="2">
        <v>2556</v>
      </c>
      <c r="E74" s="2">
        <v>-5492</v>
      </c>
      <c r="F74" s="2">
        <v>13756</v>
      </c>
      <c r="G74" s="2">
        <v>-198</v>
      </c>
      <c r="H74" s="2">
        <v>296</v>
      </c>
      <c r="I74" s="2">
        <v>-230</v>
      </c>
      <c r="J74">
        <v>1</v>
      </c>
    </row>
    <row r="75" spans="1:10" x14ac:dyDescent="0.35">
      <c r="A75" s="2">
        <v>2</v>
      </c>
      <c r="B75" s="2">
        <v>30.2</v>
      </c>
      <c r="C75" s="2">
        <v>69</v>
      </c>
      <c r="D75" s="2">
        <v>2644</v>
      </c>
      <c r="E75" s="2">
        <v>-5424</v>
      </c>
      <c r="F75" s="2">
        <v>13688</v>
      </c>
      <c r="G75" s="2">
        <v>-187</v>
      </c>
      <c r="H75" s="2">
        <v>266</v>
      </c>
      <c r="I75" s="2">
        <v>-234</v>
      </c>
      <c r="J75">
        <v>1</v>
      </c>
    </row>
    <row r="76" spans="1:10" x14ac:dyDescent="0.35">
      <c r="A76" s="2">
        <v>2</v>
      </c>
      <c r="B76" s="2">
        <v>30.2</v>
      </c>
      <c r="C76" s="2">
        <v>69</v>
      </c>
      <c r="D76" s="2">
        <v>2580</v>
      </c>
      <c r="E76" s="2">
        <v>-5396</v>
      </c>
      <c r="F76" s="2">
        <v>13720</v>
      </c>
      <c r="G76" s="2">
        <v>-186</v>
      </c>
      <c r="H76" s="2">
        <v>266</v>
      </c>
      <c r="I76" s="2">
        <v>-243</v>
      </c>
      <c r="J76">
        <v>1</v>
      </c>
    </row>
    <row r="77" spans="1:10" x14ac:dyDescent="0.35">
      <c r="A77" s="2">
        <v>2</v>
      </c>
      <c r="B77" s="2">
        <v>30.3</v>
      </c>
      <c r="C77" s="2">
        <v>69</v>
      </c>
      <c r="D77" s="2">
        <v>2524</v>
      </c>
      <c r="E77" s="2">
        <v>-5468</v>
      </c>
      <c r="F77" s="2">
        <v>13764</v>
      </c>
      <c r="G77" s="2">
        <v>-192</v>
      </c>
      <c r="H77" s="2">
        <v>285</v>
      </c>
      <c r="I77" s="2">
        <v>-229</v>
      </c>
      <c r="J77">
        <v>1</v>
      </c>
    </row>
    <row r="78" spans="1:10" x14ac:dyDescent="0.35">
      <c r="A78" s="2">
        <v>2</v>
      </c>
      <c r="B78" s="2">
        <v>30.2</v>
      </c>
      <c r="C78" s="2">
        <v>69</v>
      </c>
      <c r="D78" s="2">
        <v>2652</v>
      </c>
      <c r="E78" s="2">
        <v>-5412</v>
      </c>
      <c r="F78" s="2">
        <v>13676</v>
      </c>
      <c r="G78" s="2">
        <v>-189</v>
      </c>
      <c r="H78" s="2">
        <v>260</v>
      </c>
      <c r="I78" s="2">
        <v>-251</v>
      </c>
      <c r="J78">
        <v>1</v>
      </c>
    </row>
    <row r="79" spans="1:10" x14ac:dyDescent="0.35">
      <c r="A79" s="2">
        <v>2</v>
      </c>
      <c r="B79" s="2">
        <v>30.3</v>
      </c>
      <c r="C79" s="2">
        <v>69</v>
      </c>
      <c r="D79" s="2">
        <v>2596</v>
      </c>
      <c r="E79" s="2">
        <v>-5384</v>
      </c>
      <c r="F79" s="2">
        <v>13656</v>
      </c>
      <c r="G79" s="2">
        <v>-187</v>
      </c>
      <c r="H79" s="2">
        <v>276</v>
      </c>
      <c r="I79" s="2">
        <v>-233</v>
      </c>
      <c r="J79">
        <v>1</v>
      </c>
    </row>
    <row r="80" spans="1:10" x14ac:dyDescent="0.35">
      <c r="A80" s="2">
        <v>2</v>
      </c>
      <c r="B80" s="2">
        <v>30.2</v>
      </c>
      <c r="C80" s="2">
        <v>69</v>
      </c>
      <c r="D80" s="2">
        <v>2592</v>
      </c>
      <c r="E80" s="2">
        <v>-5508</v>
      </c>
      <c r="F80" s="2">
        <v>13812</v>
      </c>
      <c r="G80" s="2">
        <v>-192</v>
      </c>
      <c r="H80" s="2">
        <v>260</v>
      </c>
      <c r="I80" s="2">
        <v>-232</v>
      </c>
      <c r="J80">
        <v>1</v>
      </c>
    </row>
    <row r="81" spans="1:10" x14ac:dyDescent="0.35">
      <c r="A81" s="2">
        <v>2</v>
      </c>
      <c r="B81" s="2">
        <v>30.3</v>
      </c>
      <c r="C81" s="2">
        <v>68</v>
      </c>
      <c r="D81" s="2">
        <v>2920</v>
      </c>
      <c r="E81" s="2">
        <v>-5552</v>
      </c>
      <c r="F81" s="2">
        <v>13780</v>
      </c>
      <c r="G81" s="2">
        <v>-202</v>
      </c>
      <c r="H81" s="2">
        <v>998</v>
      </c>
      <c r="I81" s="2">
        <v>-339</v>
      </c>
      <c r="J81">
        <v>1</v>
      </c>
    </row>
    <row r="82" spans="1:10" x14ac:dyDescent="0.35">
      <c r="A82" s="2">
        <v>2</v>
      </c>
      <c r="B82" s="2">
        <v>30.2</v>
      </c>
      <c r="C82" s="2">
        <v>68</v>
      </c>
      <c r="D82" s="2">
        <v>2604</v>
      </c>
      <c r="E82" s="2">
        <v>-5404</v>
      </c>
      <c r="F82" s="2">
        <v>13988</v>
      </c>
      <c r="G82" s="2">
        <v>-224</v>
      </c>
      <c r="H82" s="2">
        <v>524</v>
      </c>
      <c r="I82" s="2">
        <v>-297</v>
      </c>
      <c r="J82">
        <v>1</v>
      </c>
    </row>
    <row r="83" spans="1:10" x14ac:dyDescent="0.35">
      <c r="A83" s="2">
        <v>2</v>
      </c>
      <c r="B83" s="2">
        <v>30.2</v>
      </c>
      <c r="C83" s="2">
        <v>68</v>
      </c>
      <c r="D83" s="2">
        <v>2764</v>
      </c>
      <c r="E83" s="2">
        <v>-5428</v>
      </c>
      <c r="F83" s="2">
        <v>13856</v>
      </c>
      <c r="G83" s="2">
        <v>-249</v>
      </c>
      <c r="H83" s="2">
        <v>354</v>
      </c>
      <c r="I83" s="2">
        <v>-241</v>
      </c>
      <c r="J83">
        <v>1</v>
      </c>
    </row>
    <row r="84" spans="1:10" x14ac:dyDescent="0.35">
      <c r="A84" s="2">
        <v>2</v>
      </c>
      <c r="B84" s="2">
        <v>30.2</v>
      </c>
      <c r="C84" s="2">
        <v>69</v>
      </c>
      <c r="D84" s="2">
        <v>2988</v>
      </c>
      <c r="E84" s="2">
        <v>-5640</v>
      </c>
      <c r="F84" s="2">
        <v>14028</v>
      </c>
      <c r="G84" s="2">
        <v>-399</v>
      </c>
      <c r="H84" s="2">
        <v>-974</v>
      </c>
      <c r="I84" s="2">
        <v>-342</v>
      </c>
      <c r="J84">
        <v>1</v>
      </c>
    </row>
    <row r="85" spans="1:10" x14ac:dyDescent="0.35">
      <c r="A85" s="2">
        <v>2</v>
      </c>
      <c r="B85" s="2">
        <v>30.3</v>
      </c>
      <c r="C85" s="2">
        <v>69</v>
      </c>
      <c r="D85" s="2">
        <v>2476</v>
      </c>
      <c r="E85" s="2">
        <v>-5472</v>
      </c>
      <c r="F85" s="2">
        <v>13716</v>
      </c>
      <c r="G85" s="2">
        <v>-193</v>
      </c>
      <c r="H85" s="2">
        <v>331</v>
      </c>
      <c r="I85" s="2">
        <v>-240</v>
      </c>
      <c r="J85">
        <v>1</v>
      </c>
    </row>
    <row r="86" spans="1:10" x14ac:dyDescent="0.35">
      <c r="A86" s="2">
        <v>2</v>
      </c>
      <c r="B86" s="2">
        <v>30.2</v>
      </c>
      <c r="C86" s="2">
        <v>69</v>
      </c>
      <c r="D86" s="2">
        <v>2596</v>
      </c>
      <c r="E86" s="2">
        <v>-5408</v>
      </c>
      <c r="F86" s="2">
        <v>13764</v>
      </c>
      <c r="G86" s="2">
        <v>-224</v>
      </c>
      <c r="H86" s="2">
        <v>253</v>
      </c>
      <c r="I86" s="2">
        <v>-289</v>
      </c>
      <c r="J86">
        <v>1</v>
      </c>
    </row>
    <row r="87" spans="1:10" x14ac:dyDescent="0.35">
      <c r="A87" s="2">
        <v>2</v>
      </c>
      <c r="B87" s="2">
        <v>30.2</v>
      </c>
      <c r="C87" s="2">
        <v>70</v>
      </c>
      <c r="D87" s="2">
        <v>2620</v>
      </c>
      <c r="E87" s="2">
        <v>-5532</v>
      </c>
      <c r="F87" s="2">
        <v>13752</v>
      </c>
      <c r="G87" s="2">
        <v>-186</v>
      </c>
      <c r="H87" s="2">
        <v>265</v>
      </c>
      <c r="I87" s="2">
        <v>-244</v>
      </c>
      <c r="J87">
        <v>1</v>
      </c>
    </row>
    <row r="88" spans="1:10" x14ac:dyDescent="0.35">
      <c r="A88" s="2">
        <v>2</v>
      </c>
      <c r="B88" s="2">
        <v>30.2</v>
      </c>
      <c r="C88" s="2">
        <v>70</v>
      </c>
      <c r="D88" s="2">
        <v>2532</v>
      </c>
      <c r="E88" s="2">
        <v>-5492</v>
      </c>
      <c r="F88" s="2">
        <v>13788</v>
      </c>
      <c r="G88" s="2">
        <v>-197</v>
      </c>
      <c r="H88" s="2">
        <v>329</v>
      </c>
      <c r="I88" s="2">
        <v>-250</v>
      </c>
      <c r="J88">
        <v>1</v>
      </c>
    </row>
    <row r="89" spans="1:10" x14ac:dyDescent="0.35">
      <c r="A89" s="2">
        <v>2</v>
      </c>
      <c r="B89" s="2">
        <v>30.2</v>
      </c>
      <c r="C89" s="2">
        <v>71</v>
      </c>
      <c r="D89" s="2">
        <v>2584</v>
      </c>
      <c r="E89" s="2">
        <v>-5500</v>
      </c>
      <c r="F89" s="2">
        <v>13716</v>
      </c>
      <c r="G89" s="2">
        <v>-216</v>
      </c>
      <c r="H89" s="2">
        <v>319</v>
      </c>
      <c r="I89" s="2">
        <v>-231</v>
      </c>
      <c r="J89">
        <v>1</v>
      </c>
    </row>
    <row r="90" spans="1:10" x14ac:dyDescent="0.35">
      <c r="A90" s="2">
        <v>2</v>
      </c>
      <c r="B90" s="2">
        <v>30.3</v>
      </c>
      <c r="C90" s="2">
        <v>70</v>
      </c>
      <c r="D90" s="2">
        <v>2592</v>
      </c>
      <c r="E90" s="2">
        <v>-5584</v>
      </c>
      <c r="F90" s="2">
        <v>13680</v>
      </c>
      <c r="G90" s="2">
        <v>-221</v>
      </c>
      <c r="H90" s="2">
        <v>293</v>
      </c>
      <c r="I90" s="2">
        <v>-265</v>
      </c>
      <c r="J90">
        <v>1</v>
      </c>
    </row>
    <row r="91" spans="1:10" x14ac:dyDescent="0.35">
      <c r="A91" s="2">
        <v>2</v>
      </c>
      <c r="B91" s="2">
        <v>30.3</v>
      </c>
      <c r="C91" s="2">
        <v>70</v>
      </c>
      <c r="D91" s="2">
        <v>2536</v>
      </c>
      <c r="E91" s="2">
        <v>-5508</v>
      </c>
      <c r="F91" s="2">
        <v>14900</v>
      </c>
      <c r="G91" s="2">
        <v>-277</v>
      </c>
      <c r="H91" s="2">
        <v>498</v>
      </c>
      <c r="I91" s="2">
        <v>-524</v>
      </c>
      <c r="J91">
        <v>1</v>
      </c>
    </row>
    <row r="92" spans="1:10" x14ac:dyDescent="0.35">
      <c r="A92" s="2">
        <v>2</v>
      </c>
      <c r="B92" s="2">
        <v>30.3</v>
      </c>
      <c r="C92" s="2">
        <v>70</v>
      </c>
      <c r="D92" s="2">
        <v>2572</v>
      </c>
      <c r="E92" s="2">
        <v>-5544</v>
      </c>
      <c r="F92" s="2">
        <v>13804</v>
      </c>
      <c r="G92" s="2">
        <v>-233</v>
      </c>
      <c r="H92" s="2">
        <v>289</v>
      </c>
      <c r="I92" s="2">
        <v>-222</v>
      </c>
      <c r="J92">
        <v>1</v>
      </c>
    </row>
    <row r="93" spans="1:10" x14ac:dyDescent="0.35">
      <c r="A93" s="2">
        <v>2</v>
      </c>
      <c r="B93" s="2">
        <v>30.3</v>
      </c>
      <c r="C93" s="2">
        <v>70</v>
      </c>
      <c r="D93" s="2">
        <v>2548</v>
      </c>
      <c r="E93" s="2">
        <v>-5736</v>
      </c>
      <c r="F93" s="2">
        <v>14416</v>
      </c>
      <c r="G93" s="2">
        <v>-303</v>
      </c>
      <c r="H93" s="2">
        <v>935</v>
      </c>
      <c r="I93" s="2">
        <v>-403</v>
      </c>
      <c r="J93">
        <v>1</v>
      </c>
    </row>
    <row r="94" spans="1:10" x14ac:dyDescent="0.35">
      <c r="A94" s="2">
        <v>2</v>
      </c>
      <c r="B94" s="2">
        <v>30.3</v>
      </c>
      <c r="C94" s="2">
        <v>70</v>
      </c>
      <c r="D94" s="2">
        <v>3396</v>
      </c>
      <c r="E94" s="2">
        <v>-5980</v>
      </c>
      <c r="F94" s="2">
        <v>13948</v>
      </c>
      <c r="G94" s="2">
        <v>-137</v>
      </c>
      <c r="H94" s="2">
        <v>-268</v>
      </c>
      <c r="I94" s="2">
        <v>-343</v>
      </c>
      <c r="J94">
        <v>1</v>
      </c>
    </row>
    <row r="95" spans="1:10" x14ac:dyDescent="0.35">
      <c r="A95" s="2">
        <v>2</v>
      </c>
      <c r="B95" s="2">
        <v>30.3</v>
      </c>
      <c r="C95" s="2">
        <v>70</v>
      </c>
      <c r="D95" s="2">
        <v>3236</v>
      </c>
      <c r="E95" s="2">
        <v>-5692</v>
      </c>
      <c r="F95" s="2">
        <v>13684</v>
      </c>
      <c r="G95" s="2">
        <v>-256</v>
      </c>
      <c r="H95" s="2">
        <v>280</v>
      </c>
      <c r="I95" s="2">
        <v>-338</v>
      </c>
      <c r="J95">
        <v>1</v>
      </c>
    </row>
    <row r="96" spans="1:10" x14ac:dyDescent="0.35">
      <c r="A96" s="2">
        <v>2</v>
      </c>
      <c r="B96" s="2">
        <v>30.3</v>
      </c>
      <c r="C96" s="2">
        <v>71</v>
      </c>
      <c r="D96" s="2">
        <v>2688</v>
      </c>
      <c r="E96" s="2">
        <v>-5628</v>
      </c>
      <c r="F96" s="2">
        <v>13688</v>
      </c>
      <c r="G96" s="2">
        <v>-199</v>
      </c>
      <c r="H96" s="2">
        <v>1020</v>
      </c>
      <c r="I96" s="2">
        <v>-449</v>
      </c>
      <c r="J96">
        <v>1</v>
      </c>
    </row>
    <row r="97" spans="1:10" x14ac:dyDescent="0.35">
      <c r="A97" s="2">
        <v>2</v>
      </c>
      <c r="B97" s="2">
        <v>30.4</v>
      </c>
      <c r="C97" s="2">
        <v>71</v>
      </c>
      <c r="D97" s="2">
        <v>3520</v>
      </c>
      <c r="E97" s="2">
        <v>-5500</v>
      </c>
      <c r="F97" s="2">
        <v>13744</v>
      </c>
      <c r="G97" s="2">
        <v>-241</v>
      </c>
      <c r="H97" s="2">
        <v>-616</v>
      </c>
      <c r="I97" s="2">
        <v>-402</v>
      </c>
      <c r="J97">
        <v>1</v>
      </c>
    </row>
    <row r="98" spans="1:10" x14ac:dyDescent="0.35">
      <c r="A98" s="2">
        <v>2</v>
      </c>
      <c r="B98" s="2">
        <v>30.3</v>
      </c>
      <c r="C98" s="2">
        <v>71</v>
      </c>
      <c r="D98" s="2">
        <v>2696</v>
      </c>
      <c r="E98" s="2">
        <v>-5504</v>
      </c>
      <c r="F98" s="2">
        <v>13716</v>
      </c>
      <c r="G98" s="2">
        <v>-242</v>
      </c>
      <c r="H98" s="2">
        <v>498</v>
      </c>
      <c r="I98" s="2">
        <v>-267</v>
      </c>
      <c r="J98">
        <v>1</v>
      </c>
    </row>
    <row r="99" spans="1:10" x14ac:dyDescent="0.35">
      <c r="A99" s="2">
        <v>2</v>
      </c>
      <c r="B99" s="2">
        <v>30.3</v>
      </c>
      <c r="C99" s="2">
        <v>71</v>
      </c>
      <c r="D99" s="2">
        <v>2700</v>
      </c>
      <c r="E99" s="2">
        <v>-5588</v>
      </c>
      <c r="F99" s="2">
        <v>13820</v>
      </c>
      <c r="G99" s="2">
        <v>-246</v>
      </c>
      <c r="H99" s="2">
        <v>442</v>
      </c>
      <c r="I99" s="2">
        <v>-212</v>
      </c>
      <c r="J99">
        <v>1</v>
      </c>
    </row>
    <row r="100" spans="1:10" x14ac:dyDescent="0.35">
      <c r="A100" s="2">
        <v>2</v>
      </c>
      <c r="B100" s="2">
        <v>30.3</v>
      </c>
      <c r="C100" s="2">
        <v>70</v>
      </c>
      <c r="D100" s="2">
        <v>2604</v>
      </c>
      <c r="E100" s="2">
        <v>-5608</v>
      </c>
      <c r="F100" s="2">
        <v>13756</v>
      </c>
      <c r="G100" s="2">
        <v>-213</v>
      </c>
      <c r="H100" s="2">
        <v>381</v>
      </c>
      <c r="I100" s="2">
        <v>-266</v>
      </c>
      <c r="J100">
        <v>1</v>
      </c>
    </row>
    <row r="101" spans="1:10" x14ac:dyDescent="0.35">
      <c r="A101" s="2">
        <v>2</v>
      </c>
      <c r="B101" s="2">
        <v>30.3</v>
      </c>
      <c r="C101" s="2">
        <v>70</v>
      </c>
      <c r="D101" s="2">
        <v>2488</v>
      </c>
      <c r="E101" s="2">
        <v>-5580</v>
      </c>
      <c r="F101" s="2">
        <v>13740</v>
      </c>
      <c r="G101" s="2">
        <v>-235</v>
      </c>
      <c r="H101" s="2">
        <v>279</v>
      </c>
      <c r="I101" s="2">
        <v>-238</v>
      </c>
      <c r="J101">
        <v>1</v>
      </c>
    </row>
    <row r="102" spans="1:10" x14ac:dyDescent="0.35">
      <c r="A102" s="2">
        <v>2</v>
      </c>
      <c r="B102" s="2">
        <v>30.3</v>
      </c>
      <c r="C102" s="2">
        <v>70</v>
      </c>
      <c r="D102" s="2">
        <v>2512</v>
      </c>
      <c r="E102" s="2">
        <v>-5484</v>
      </c>
      <c r="F102" s="2">
        <v>13760</v>
      </c>
      <c r="G102" s="2">
        <v>-247</v>
      </c>
      <c r="H102" s="2">
        <v>317</v>
      </c>
      <c r="I102" s="2">
        <v>-223</v>
      </c>
      <c r="J102">
        <v>1</v>
      </c>
    </row>
    <row r="103" spans="1:10" x14ac:dyDescent="0.35">
      <c r="A103" s="2">
        <v>2</v>
      </c>
      <c r="B103" s="2">
        <v>30.3</v>
      </c>
      <c r="C103" s="2">
        <v>71</v>
      </c>
      <c r="D103" s="2">
        <v>2620</v>
      </c>
      <c r="E103" s="2">
        <v>-5536</v>
      </c>
      <c r="F103" s="2">
        <v>13744</v>
      </c>
      <c r="G103" s="2">
        <v>-251</v>
      </c>
      <c r="H103" s="2">
        <v>364</v>
      </c>
      <c r="I103" s="2">
        <v>-260</v>
      </c>
      <c r="J103">
        <v>1</v>
      </c>
    </row>
    <row r="104" spans="1:10" x14ac:dyDescent="0.35">
      <c r="A104" s="2">
        <v>2</v>
      </c>
      <c r="B104" s="2">
        <v>30.3</v>
      </c>
      <c r="C104" s="2">
        <v>71</v>
      </c>
      <c r="D104" s="2">
        <v>2480</v>
      </c>
      <c r="E104" s="2">
        <v>-5556</v>
      </c>
      <c r="F104" s="2">
        <v>13768</v>
      </c>
      <c r="G104" s="2">
        <v>-202</v>
      </c>
      <c r="H104" s="2">
        <v>326</v>
      </c>
      <c r="I104" s="2">
        <v>-256</v>
      </c>
      <c r="J104">
        <v>1</v>
      </c>
    </row>
    <row r="105" spans="1:10" x14ac:dyDescent="0.35">
      <c r="A105" s="2">
        <v>2</v>
      </c>
      <c r="B105" s="2">
        <v>30.4</v>
      </c>
      <c r="C105" s="2">
        <v>71</v>
      </c>
      <c r="D105" s="2">
        <v>2624</v>
      </c>
      <c r="E105" s="2">
        <v>-5468</v>
      </c>
      <c r="F105" s="2">
        <v>13672</v>
      </c>
      <c r="G105" s="2">
        <v>-203</v>
      </c>
      <c r="H105" s="2">
        <v>255</v>
      </c>
      <c r="I105" s="2">
        <v>-271</v>
      </c>
      <c r="J105">
        <v>1</v>
      </c>
    </row>
    <row r="106" spans="1:10" x14ac:dyDescent="0.35">
      <c r="A106" s="2">
        <v>2</v>
      </c>
      <c r="B106" s="2">
        <v>30.3</v>
      </c>
      <c r="C106" s="2">
        <v>71</v>
      </c>
      <c r="D106" s="2">
        <v>2564</v>
      </c>
      <c r="E106" s="2">
        <v>-5472</v>
      </c>
      <c r="F106" s="2">
        <v>13768</v>
      </c>
      <c r="G106" s="2">
        <v>-317</v>
      </c>
      <c r="H106" s="2">
        <v>423</v>
      </c>
      <c r="I106" s="2">
        <v>-472</v>
      </c>
      <c r="J106">
        <v>1</v>
      </c>
    </row>
    <row r="107" spans="1:10" x14ac:dyDescent="0.35">
      <c r="A107" s="2">
        <v>2</v>
      </c>
      <c r="B107" s="2">
        <v>30.3</v>
      </c>
      <c r="C107" s="2">
        <v>71</v>
      </c>
      <c r="D107" s="2">
        <v>2964</v>
      </c>
      <c r="E107" s="2">
        <v>-5660</v>
      </c>
      <c r="F107" s="2">
        <v>13860</v>
      </c>
      <c r="G107" s="2">
        <v>-231</v>
      </c>
      <c r="H107" s="2">
        <v>722</v>
      </c>
      <c r="I107" s="2">
        <v>-560</v>
      </c>
      <c r="J107">
        <v>1</v>
      </c>
    </row>
    <row r="108" spans="1:10" x14ac:dyDescent="0.35">
      <c r="A108" s="2">
        <v>2</v>
      </c>
      <c r="B108" s="2">
        <v>30.3</v>
      </c>
      <c r="C108" s="2">
        <v>71</v>
      </c>
      <c r="D108" s="2">
        <v>2656</v>
      </c>
      <c r="E108" s="2">
        <v>-5524</v>
      </c>
      <c r="F108" s="2">
        <v>13772</v>
      </c>
      <c r="G108" s="2">
        <v>-257</v>
      </c>
      <c r="H108" s="2">
        <v>391</v>
      </c>
      <c r="I108" s="2">
        <v>-245</v>
      </c>
      <c r="J108">
        <v>1</v>
      </c>
    </row>
    <row r="109" spans="1:10" x14ac:dyDescent="0.35">
      <c r="A109" s="2">
        <v>2</v>
      </c>
      <c r="B109" s="2">
        <v>30.3</v>
      </c>
      <c r="C109" s="2">
        <v>71</v>
      </c>
      <c r="D109" s="2">
        <v>2652</v>
      </c>
      <c r="E109" s="2">
        <v>-5564</v>
      </c>
      <c r="F109" s="2">
        <v>13696</v>
      </c>
      <c r="G109" s="2">
        <v>-215</v>
      </c>
      <c r="H109" s="2">
        <v>280</v>
      </c>
      <c r="I109" s="2">
        <v>-248</v>
      </c>
      <c r="J109">
        <v>1</v>
      </c>
    </row>
    <row r="110" spans="1:10" x14ac:dyDescent="0.35">
      <c r="A110" s="2">
        <v>2</v>
      </c>
      <c r="B110" s="2">
        <v>30.3</v>
      </c>
      <c r="C110" s="2">
        <v>70</v>
      </c>
      <c r="D110" s="2">
        <v>2508</v>
      </c>
      <c r="E110" s="2">
        <v>-5496</v>
      </c>
      <c r="F110" s="2">
        <v>13780</v>
      </c>
      <c r="G110" s="2">
        <v>-310</v>
      </c>
      <c r="H110" s="2">
        <v>383</v>
      </c>
      <c r="I110" s="2">
        <v>-226</v>
      </c>
      <c r="J110">
        <v>1</v>
      </c>
    </row>
    <row r="111" spans="1:10" x14ac:dyDescent="0.35">
      <c r="A111" s="2">
        <v>2</v>
      </c>
      <c r="B111" s="2">
        <v>30.4</v>
      </c>
      <c r="C111" s="2">
        <v>70</v>
      </c>
      <c r="D111" s="2">
        <v>2760</v>
      </c>
      <c r="E111" s="2">
        <v>-5616</v>
      </c>
      <c r="F111" s="2">
        <v>13744</v>
      </c>
      <c r="G111" s="2">
        <v>-293</v>
      </c>
      <c r="H111" s="2">
        <v>632</v>
      </c>
      <c r="I111" s="2">
        <v>-327</v>
      </c>
      <c r="J111">
        <v>1</v>
      </c>
    </row>
    <row r="112" spans="1:10" x14ac:dyDescent="0.35">
      <c r="A112" s="2">
        <v>2</v>
      </c>
      <c r="B112" s="2">
        <v>30.4</v>
      </c>
      <c r="C112" s="2">
        <v>70</v>
      </c>
      <c r="D112" s="2">
        <v>2640</v>
      </c>
      <c r="E112" s="2">
        <v>-5472</v>
      </c>
      <c r="F112" s="2">
        <v>13740</v>
      </c>
      <c r="G112" s="2">
        <v>-300</v>
      </c>
      <c r="H112" s="2">
        <v>714</v>
      </c>
      <c r="I112" s="2">
        <v>-249</v>
      </c>
      <c r="J112">
        <v>1</v>
      </c>
    </row>
    <row r="113" spans="1:10" x14ac:dyDescent="0.35">
      <c r="A113" s="2">
        <v>2</v>
      </c>
      <c r="B113" s="2">
        <v>30.3</v>
      </c>
      <c r="C113" s="2">
        <v>70</v>
      </c>
      <c r="D113" s="2">
        <v>2764</v>
      </c>
      <c r="E113" s="2">
        <v>-5512</v>
      </c>
      <c r="F113" s="2">
        <v>13772</v>
      </c>
      <c r="G113" s="2">
        <v>-355</v>
      </c>
      <c r="H113" s="2">
        <v>897</v>
      </c>
      <c r="I113" s="2">
        <v>-226</v>
      </c>
      <c r="J113">
        <v>1</v>
      </c>
    </row>
    <row r="114" spans="1:10" x14ac:dyDescent="0.35">
      <c r="A114" s="2">
        <v>2</v>
      </c>
      <c r="B114" s="2">
        <v>30.3</v>
      </c>
      <c r="C114" s="2">
        <v>71</v>
      </c>
      <c r="D114" s="2">
        <v>2564</v>
      </c>
      <c r="E114" s="2">
        <v>-5796</v>
      </c>
      <c r="F114" s="2">
        <v>13788</v>
      </c>
      <c r="G114" s="2">
        <v>-223</v>
      </c>
      <c r="H114" s="2">
        <v>666</v>
      </c>
      <c r="I114" s="2">
        <v>-496</v>
      </c>
      <c r="J114">
        <v>1</v>
      </c>
    </row>
    <row r="115" spans="1:10" x14ac:dyDescent="0.35">
      <c r="A115" s="2">
        <v>2</v>
      </c>
      <c r="B115" s="2">
        <v>30.4</v>
      </c>
      <c r="C115" s="2">
        <v>71</v>
      </c>
      <c r="D115" s="2">
        <v>3148</v>
      </c>
      <c r="E115" s="2">
        <v>-5568</v>
      </c>
      <c r="F115" s="2">
        <v>13684</v>
      </c>
      <c r="G115" s="2">
        <v>-287</v>
      </c>
      <c r="H115" s="2">
        <v>395</v>
      </c>
      <c r="I115" s="2">
        <v>-303</v>
      </c>
      <c r="J115">
        <v>1</v>
      </c>
    </row>
    <row r="116" spans="1:10" x14ac:dyDescent="0.35">
      <c r="A116" s="2">
        <v>2</v>
      </c>
      <c r="B116" s="2">
        <v>30.4</v>
      </c>
      <c r="C116" s="2">
        <v>70</v>
      </c>
      <c r="D116" s="2">
        <v>3036</v>
      </c>
      <c r="E116" s="2">
        <v>-5540</v>
      </c>
      <c r="F116" s="2">
        <v>13836</v>
      </c>
      <c r="G116" s="2">
        <v>-190</v>
      </c>
      <c r="H116" s="2">
        <v>295</v>
      </c>
      <c r="I116" s="2">
        <v>-287</v>
      </c>
      <c r="J116">
        <v>1</v>
      </c>
    </row>
    <row r="117" spans="1:10" x14ac:dyDescent="0.35">
      <c r="A117" s="2">
        <v>2</v>
      </c>
      <c r="B117" s="2">
        <v>30.3</v>
      </c>
      <c r="C117" s="2">
        <v>70</v>
      </c>
      <c r="D117" s="2">
        <v>2872</v>
      </c>
      <c r="E117" s="2">
        <v>-5740</v>
      </c>
      <c r="F117" s="2">
        <v>13716</v>
      </c>
      <c r="G117" s="2">
        <v>-220</v>
      </c>
      <c r="H117" s="2">
        <v>321</v>
      </c>
      <c r="I117" s="2">
        <v>-246</v>
      </c>
      <c r="J117">
        <v>1</v>
      </c>
    </row>
    <row r="118" spans="1:10" x14ac:dyDescent="0.35">
      <c r="A118" s="2">
        <v>2</v>
      </c>
      <c r="B118" s="2">
        <v>30.5</v>
      </c>
      <c r="C118" s="2">
        <v>70</v>
      </c>
      <c r="D118" s="2">
        <v>2764</v>
      </c>
      <c r="E118" s="2">
        <v>-5740</v>
      </c>
      <c r="F118" s="2">
        <v>13828</v>
      </c>
      <c r="G118" s="2">
        <v>-367</v>
      </c>
      <c r="H118" s="2">
        <v>491</v>
      </c>
      <c r="I118" s="2">
        <v>-428</v>
      </c>
      <c r="J118">
        <v>1</v>
      </c>
    </row>
    <row r="119" spans="1:10" x14ac:dyDescent="0.35">
      <c r="A119" s="2">
        <v>2</v>
      </c>
      <c r="B119" s="2">
        <v>30.3</v>
      </c>
      <c r="C119" s="2">
        <v>71</v>
      </c>
      <c r="D119" s="2">
        <v>2616</v>
      </c>
      <c r="E119" s="2">
        <v>-5652</v>
      </c>
      <c r="F119" s="2">
        <v>13780</v>
      </c>
      <c r="G119" s="2">
        <v>-179</v>
      </c>
      <c r="H119" s="2">
        <v>836</v>
      </c>
      <c r="I119" s="2">
        <v>-361</v>
      </c>
      <c r="J119">
        <v>1</v>
      </c>
    </row>
    <row r="120" spans="1:10" x14ac:dyDescent="0.35">
      <c r="A120" s="2">
        <v>2</v>
      </c>
      <c r="B120" s="2">
        <v>30.4</v>
      </c>
      <c r="C120" s="2">
        <v>71</v>
      </c>
      <c r="D120" s="2">
        <v>2524</v>
      </c>
      <c r="E120" s="2">
        <v>-5520</v>
      </c>
      <c r="F120" s="2">
        <v>13952</v>
      </c>
      <c r="G120" s="2">
        <v>-201</v>
      </c>
      <c r="H120" s="2">
        <v>509</v>
      </c>
      <c r="I120" s="2">
        <v>-284</v>
      </c>
      <c r="J120">
        <v>1</v>
      </c>
    </row>
    <row r="121" spans="1:10" x14ac:dyDescent="0.35">
      <c r="A121" s="2">
        <v>2</v>
      </c>
      <c r="B121" s="2">
        <v>30.3</v>
      </c>
      <c r="C121" s="2">
        <v>71</v>
      </c>
      <c r="D121" s="2">
        <v>2912</v>
      </c>
      <c r="E121" s="2">
        <v>-5628</v>
      </c>
      <c r="F121" s="2">
        <v>13576</v>
      </c>
      <c r="G121" s="2">
        <v>-283</v>
      </c>
      <c r="H121" s="2">
        <v>462</v>
      </c>
      <c r="I121" s="2">
        <v>-249</v>
      </c>
      <c r="J121">
        <v>1</v>
      </c>
    </row>
    <row r="122" spans="1:10" x14ac:dyDescent="0.35">
      <c r="A122" s="2">
        <v>2</v>
      </c>
      <c r="B122" s="2">
        <v>30.3</v>
      </c>
      <c r="C122" s="2">
        <v>71</v>
      </c>
      <c r="D122" s="2">
        <v>2800</v>
      </c>
      <c r="E122" s="2">
        <v>-5916</v>
      </c>
      <c r="F122" s="2">
        <v>13652</v>
      </c>
      <c r="G122" s="2">
        <v>-284</v>
      </c>
      <c r="H122" s="2">
        <v>717</v>
      </c>
      <c r="I122" s="2">
        <v>-599</v>
      </c>
      <c r="J122">
        <v>1</v>
      </c>
    </row>
    <row r="123" spans="1:10" x14ac:dyDescent="0.35">
      <c r="A123" s="2">
        <v>2</v>
      </c>
      <c r="B123" s="2">
        <v>30.3</v>
      </c>
      <c r="C123" s="2">
        <v>71</v>
      </c>
      <c r="D123" s="2">
        <v>2580</v>
      </c>
      <c r="E123" s="2">
        <v>-5516</v>
      </c>
      <c r="F123" s="2">
        <v>13724</v>
      </c>
      <c r="G123" s="2">
        <v>-180</v>
      </c>
      <c r="H123" s="2">
        <v>347</v>
      </c>
      <c r="I123" s="2">
        <v>-242</v>
      </c>
      <c r="J123">
        <v>1</v>
      </c>
    </row>
    <row r="124" spans="1:10" x14ac:dyDescent="0.35">
      <c r="A124" s="2">
        <v>2</v>
      </c>
      <c r="B124" s="2">
        <v>30.5</v>
      </c>
      <c r="C124" s="2">
        <v>71</v>
      </c>
      <c r="D124" s="2">
        <v>2552</v>
      </c>
      <c r="E124" s="2">
        <v>-5532</v>
      </c>
      <c r="F124" s="2">
        <v>13756</v>
      </c>
      <c r="G124" s="2">
        <v>-210</v>
      </c>
      <c r="H124" s="2">
        <v>303</v>
      </c>
      <c r="I124" s="2">
        <v>-232</v>
      </c>
      <c r="J124">
        <v>1</v>
      </c>
    </row>
    <row r="125" spans="1:10" x14ac:dyDescent="0.35">
      <c r="A125" s="2">
        <v>2</v>
      </c>
      <c r="B125" s="2">
        <v>30.3</v>
      </c>
      <c r="C125" s="2">
        <v>71</v>
      </c>
      <c r="D125" s="2">
        <v>2612</v>
      </c>
      <c r="E125" s="2">
        <v>-5484</v>
      </c>
      <c r="F125" s="2">
        <v>13696</v>
      </c>
      <c r="G125" s="2">
        <v>-221</v>
      </c>
      <c r="H125" s="2">
        <v>342</v>
      </c>
      <c r="I125" s="2">
        <v>-227</v>
      </c>
      <c r="J125">
        <v>1</v>
      </c>
    </row>
    <row r="126" spans="1:10" x14ac:dyDescent="0.35">
      <c r="A126" s="2">
        <v>2</v>
      </c>
      <c r="B126" s="2">
        <v>30.3</v>
      </c>
      <c r="C126" s="2">
        <v>71</v>
      </c>
      <c r="D126" s="2">
        <v>2624</v>
      </c>
      <c r="E126" s="2">
        <v>-5532</v>
      </c>
      <c r="F126" s="2">
        <v>13752</v>
      </c>
      <c r="G126" s="2">
        <v>-192</v>
      </c>
      <c r="H126" s="2">
        <v>314</v>
      </c>
      <c r="I126" s="2">
        <v>-247</v>
      </c>
      <c r="J126">
        <v>1</v>
      </c>
    </row>
    <row r="127" spans="1:10" x14ac:dyDescent="0.35">
      <c r="A127" s="2">
        <v>2</v>
      </c>
      <c r="B127" s="2">
        <v>30.3</v>
      </c>
      <c r="C127" s="2">
        <v>70</v>
      </c>
      <c r="D127" s="2">
        <v>2572</v>
      </c>
      <c r="E127" s="2">
        <v>-5600</v>
      </c>
      <c r="F127" s="2">
        <v>13680</v>
      </c>
      <c r="G127" s="2">
        <v>-207</v>
      </c>
      <c r="H127" s="2">
        <v>288</v>
      </c>
      <c r="I127" s="2">
        <v>-240</v>
      </c>
      <c r="J127">
        <v>1</v>
      </c>
    </row>
    <row r="128" spans="1:10" x14ac:dyDescent="0.35">
      <c r="A128" s="2">
        <v>2</v>
      </c>
      <c r="B128" s="2">
        <v>30.3</v>
      </c>
      <c r="C128" s="2">
        <v>70</v>
      </c>
      <c r="D128" s="2">
        <v>2588</v>
      </c>
      <c r="E128" s="2">
        <v>-5476</v>
      </c>
      <c r="F128" s="2">
        <v>13728</v>
      </c>
      <c r="G128" s="2">
        <v>-189</v>
      </c>
      <c r="H128" s="2">
        <v>292</v>
      </c>
      <c r="I128" s="2">
        <v>-245</v>
      </c>
      <c r="J128">
        <v>1</v>
      </c>
    </row>
    <row r="129" spans="1:10" x14ac:dyDescent="0.35">
      <c r="A129" s="2">
        <v>2</v>
      </c>
      <c r="B129" s="2">
        <v>30.5</v>
      </c>
      <c r="C129" s="2">
        <v>70</v>
      </c>
      <c r="D129" s="2">
        <v>2436</v>
      </c>
      <c r="E129" s="2">
        <v>-5700</v>
      </c>
      <c r="F129" s="2">
        <v>13864</v>
      </c>
      <c r="G129" s="2">
        <v>-313</v>
      </c>
      <c r="H129" s="2">
        <v>1374</v>
      </c>
      <c r="I129" s="2">
        <v>-618</v>
      </c>
      <c r="J129">
        <v>1</v>
      </c>
    </row>
    <row r="130" spans="1:10" x14ac:dyDescent="0.35">
      <c r="A130" s="2">
        <v>2</v>
      </c>
      <c r="B130" s="2">
        <v>30.5</v>
      </c>
      <c r="C130" s="2">
        <v>70</v>
      </c>
      <c r="D130" s="2">
        <v>2484</v>
      </c>
      <c r="E130" s="2">
        <v>-5556</v>
      </c>
      <c r="F130" s="2">
        <v>14244</v>
      </c>
      <c r="G130" s="2">
        <v>-216</v>
      </c>
      <c r="H130" s="2">
        <v>-647</v>
      </c>
      <c r="I130" s="2">
        <v>-287</v>
      </c>
      <c r="J130">
        <v>1</v>
      </c>
    </row>
    <row r="131" spans="1:10" x14ac:dyDescent="0.35">
      <c r="A131" s="2">
        <v>2</v>
      </c>
      <c r="B131" s="2">
        <v>30.5</v>
      </c>
      <c r="C131" s="2">
        <v>71</v>
      </c>
      <c r="D131" s="2">
        <v>2460</v>
      </c>
      <c r="E131" s="2">
        <v>-5580</v>
      </c>
      <c r="F131" s="2">
        <v>13732</v>
      </c>
      <c r="G131" s="2">
        <v>-223</v>
      </c>
      <c r="H131" s="2">
        <v>278</v>
      </c>
      <c r="I131" s="2">
        <v>-261</v>
      </c>
      <c r="J131">
        <v>1</v>
      </c>
    </row>
    <row r="132" spans="1:10" x14ac:dyDescent="0.35">
      <c r="A132" s="2">
        <v>2</v>
      </c>
      <c r="B132" s="2">
        <v>30.5</v>
      </c>
      <c r="C132" s="2">
        <v>71</v>
      </c>
      <c r="D132" s="2">
        <v>2492</v>
      </c>
      <c r="E132" s="2">
        <v>-5568</v>
      </c>
      <c r="F132" s="2">
        <v>13668</v>
      </c>
      <c r="G132" s="2">
        <v>-277</v>
      </c>
      <c r="H132" s="2">
        <v>529</v>
      </c>
      <c r="I132" s="2">
        <v>-261</v>
      </c>
      <c r="J132">
        <v>1</v>
      </c>
    </row>
    <row r="133" spans="1:10" x14ac:dyDescent="0.35">
      <c r="A133" s="2">
        <v>2</v>
      </c>
      <c r="B133" s="2">
        <v>30.5</v>
      </c>
      <c r="C133" s="2">
        <v>71</v>
      </c>
      <c r="D133" s="2">
        <v>2496</v>
      </c>
      <c r="E133" s="2">
        <v>-5596</v>
      </c>
      <c r="F133" s="2">
        <v>13668</v>
      </c>
      <c r="G133" s="2">
        <v>-191</v>
      </c>
      <c r="H133" s="2">
        <v>270</v>
      </c>
      <c r="I133" s="2">
        <v>-260</v>
      </c>
      <c r="J133">
        <v>1</v>
      </c>
    </row>
    <row r="134" spans="1:10" x14ac:dyDescent="0.35">
      <c r="A134" s="2">
        <v>2</v>
      </c>
      <c r="B134" s="2">
        <v>30.5</v>
      </c>
      <c r="C134" s="2">
        <v>70</v>
      </c>
      <c r="D134" s="2">
        <v>2524</v>
      </c>
      <c r="E134" s="2">
        <v>-5588</v>
      </c>
      <c r="F134" s="2">
        <v>13608</v>
      </c>
      <c r="G134" s="2">
        <v>-181</v>
      </c>
      <c r="H134" s="2">
        <v>256</v>
      </c>
      <c r="I134" s="2">
        <v>-255</v>
      </c>
      <c r="J134">
        <v>1</v>
      </c>
    </row>
    <row r="135" spans="1:10" x14ac:dyDescent="0.35">
      <c r="A135" s="2">
        <v>2</v>
      </c>
      <c r="B135" s="2">
        <v>30.4</v>
      </c>
      <c r="C135" s="2">
        <v>70</v>
      </c>
      <c r="D135" s="2">
        <v>2616</v>
      </c>
      <c r="E135" s="2">
        <v>-5616</v>
      </c>
      <c r="F135" s="2">
        <v>13720</v>
      </c>
      <c r="G135" s="2">
        <v>-192</v>
      </c>
      <c r="H135" s="2">
        <v>276</v>
      </c>
      <c r="I135" s="2">
        <v>-245</v>
      </c>
      <c r="J135">
        <v>1</v>
      </c>
    </row>
    <row r="136" spans="1:10" x14ac:dyDescent="0.35">
      <c r="A136" s="2">
        <v>2</v>
      </c>
      <c r="B136" s="2">
        <v>30.5</v>
      </c>
      <c r="C136" s="2">
        <v>70</v>
      </c>
      <c r="D136" s="2">
        <v>2560</v>
      </c>
      <c r="E136" s="2">
        <v>-5496</v>
      </c>
      <c r="F136" s="2">
        <v>13696</v>
      </c>
      <c r="G136" s="2">
        <v>-204</v>
      </c>
      <c r="H136" s="2">
        <v>353</v>
      </c>
      <c r="I136" s="2">
        <v>-238</v>
      </c>
      <c r="J136">
        <v>1</v>
      </c>
    </row>
    <row r="137" spans="1:10" x14ac:dyDescent="0.35">
      <c r="A137" s="2">
        <v>2</v>
      </c>
      <c r="B137" s="2">
        <v>30.5</v>
      </c>
      <c r="C137" s="2">
        <v>71</v>
      </c>
      <c r="D137" s="2">
        <v>2648</v>
      </c>
      <c r="E137" s="2">
        <v>-5444</v>
      </c>
      <c r="F137" s="2">
        <v>13632</v>
      </c>
      <c r="G137" s="2">
        <v>-193</v>
      </c>
      <c r="H137" s="2">
        <v>397</v>
      </c>
      <c r="I137" s="2">
        <v>-252</v>
      </c>
      <c r="J137">
        <v>1</v>
      </c>
    </row>
    <row r="138" spans="1:10" x14ac:dyDescent="0.35">
      <c r="A138" s="2">
        <v>2</v>
      </c>
      <c r="B138" s="2">
        <v>30.5</v>
      </c>
      <c r="C138" s="2">
        <v>71</v>
      </c>
      <c r="D138" s="2">
        <v>2628</v>
      </c>
      <c r="E138" s="2">
        <v>-5608</v>
      </c>
      <c r="F138" s="2">
        <v>13780</v>
      </c>
      <c r="G138" s="2">
        <v>-232</v>
      </c>
      <c r="H138" s="2">
        <v>279</v>
      </c>
      <c r="I138" s="2">
        <v>-443</v>
      </c>
      <c r="J138">
        <v>1</v>
      </c>
    </row>
    <row r="139" spans="1:10" x14ac:dyDescent="0.35">
      <c r="A139" s="2">
        <v>2</v>
      </c>
      <c r="B139" s="2">
        <v>30.5</v>
      </c>
      <c r="C139" s="2">
        <v>71</v>
      </c>
      <c r="D139" s="2">
        <v>2600</v>
      </c>
      <c r="E139" s="2">
        <v>-5484</v>
      </c>
      <c r="F139" s="2">
        <v>13856</v>
      </c>
      <c r="G139" s="2">
        <v>-206</v>
      </c>
      <c r="H139" s="2">
        <v>297</v>
      </c>
      <c r="I139" s="2">
        <v>-254</v>
      </c>
      <c r="J139">
        <v>1</v>
      </c>
    </row>
    <row r="140" spans="1:10" x14ac:dyDescent="0.35">
      <c r="A140" s="2">
        <v>2</v>
      </c>
      <c r="B140" s="2">
        <v>30.5</v>
      </c>
      <c r="C140" s="2">
        <v>71</v>
      </c>
      <c r="D140" s="2">
        <v>2548</v>
      </c>
      <c r="E140" s="2">
        <v>-5612</v>
      </c>
      <c r="F140" s="2">
        <v>13724</v>
      </c>
      <c r="G140" s="2">
        <v>-226</v>
      </c>
      <c r="H140" s="2">
        <v>286</v>
      </c>
      <c r="I140" s="2">
        <v>-257</v>
      </c>
      <c r="J140">
        <v>1</v>
      </c>
    </row>
    <row r="141" spans="1:10" x14ac:dyDescent="0.35">
      <c r="A141" s="2">
        <v>2</v>
      </c>
      <c r="B141" s="2">
        <v>30.5</v>
      </c>
      <c r="C141" s="2">
        <v>72</v>
      </c>
      <c r="D141" s="2">
        <v>2524</v>
      </c>
      <c r="E141" s="2">
        <v>-5564</v>
      </c>
      <c r="F141" s="2">
        <v>13596</v>
      </c>
      <c r="G141" s="2">
        <v>-214</v>
      </c>
      <c r="H141" s="2">
        <v>310</v>
      </c>
      <c r="I141" s="2">
        <v>-236</v>
      </c>
      <c r="J141">
        <v>1</v>
      </c>
    </row>
    <row r="142" spans="1:10" x14ac:dyDescent="0.35">
      <c r="A142" s="2">
        <v>2</v>
      </c>
      <c r="B142" s="2">
        <v>30.5</v>
      </c>
      <c r="C142" s="2">
        <v>71</v>
      </c>
      <c r="D142" s="2">
        <v>2516</v>
      </c>
      <c r="E142" s="2">
        <v>-5528</v>
      </c>
      <c r="F142" s="2">
        <v>13680</v>
      </c>
      <c r="G142" s="2">
        <v>-209</v>
      </c>
      <c r="H142" s="2">
        <v>337</v>
      </c>
      <c r="I142" s="2">
        <v>-245</v>
      </c>
      <c r="J142">
        <v>1</v>
      </c>
    </row>
    <row r="143" spans="1:10" x14ac:dyDescent="0.35">
      <c r="A143" s="2">
        <v>2</v>
      </c>
      <c r="B143" s="2">
        <v>30.5</v>
      </c>
      <c r="C143" s="2">
        <v>72</v>
      </c>
      <c r="D143" s="2">
        <v>2568</v>
      </c>
      <c r="E143" s="2">
        <v>-5548</v>
      </c>
      <c r="F143" s="2">
        <v>13648</v>
      </c>
      <c r="G143" s="2">
        <v>-226</v>
      </c>
      <c r="H143" s="2">
        <v>261</v>
      </c>
      <c r="I143" s="2">
        <v>-243</v>
      </c>
      <c r="J143">
        <v>1</v>
      </c>
    </row>
    <row r="144" spans="1:10" x14ac:dyDescent="0.35">
      <c r="A144" s="2">
        <v>2</v>
      </c>
      <c r="B144" s="2">
        <v>30.5</v>
      </c>
      <c r="C144" s="2">
        <v>72</v>
      </c>
      <c r="D144" s="2">
        <v>2496</v>
      </c>
      <c r="E144" s="2">
        <v>-5648</v>
      </c>
      <c r="F144" s="2">
        <v>13808</v>
      </c>
      <c r="G144" s="2">
        <v>-253</v>
      </c>
      <c r="H144" s="2">
        <v>216</v>
      </c>
      <c r="I144" s="2">
        <v>-272</v>
      </c>
      <c r="J144">
        <v>1</v>
      </c>
    </row>
    <row r="145" spans="1:10" x14ac:dyDescent="0.35">
      <c r="A145" s="2">
        <v>2</v>
      </c>
      <c r="B145" s="2">
        <v>30.5</v>
      </c>
      <c r="C145" s="2">
        <v>72</v>
      </c>
      <c r="D145" s="2">
        <v>2632</v>
      </c>
      <c r="E145" s="2">
        <v>-5536</v>
      </c>
      <c r="F145" s="2">
        <v>13748</v>
      </c>
      <c r="G145" s="2">
        <v>-199</v>
      </c>
      <c r="H145" s="2">
        <v>358</v>
      </c>
      <c r="I145" s="2">
        <v>-251</v>
      </c>
      <c r="J145">
        <v>1</v>
      </c>
    </row>
    <row r="146" spans="1:10" x14ac:dyDescent="0.35">
      <c r="A146" s="2">
        <v>2</v>
      </c>
      <c r="B146" s="2">
        <v>30.5</v>
      </c>
      <c r="C146" s="2">
        <v>72</v>
      </c>
      <c r="D146" s="2">
        <v>2600</v>
      </c>
      <c r="E146" s="2">
        <v>-5620</v>
      </c>
      <c r="F146" s="2">
        <v>13908</v>
      </c>
      <c r="G146" s="2">
        <v>-215</v>
      </c>
      <c r="H146" s="2">
        <v>370</v>
      </c>
      <c r="I146" s="2">
        <v>-235</v>
      </c>
      <c r="J146">
        <v>1</v>
      </c>
    </row>
    <row r="147" spans="1:10" x14ac:dyDescent="0.35">
      <c r="A147" s="2">
        <v>2</v>
      </c>
      <c r="B147" s="2">
        <v>30.5</v>
      </c>
      <c r="C147" s="2">
        <v>71</v>
      </c>
      <c r="D147" s="2">
        <v>2728</v>
      </c>
      <c r="E147" s="2">
        <v>-5532</v>
      </c>
      <c r="F147" s="2">
        <v>13680</v>
      </c>
      <c r="G147" s="2">
        <v>-196</v>
      </c>
      <c r="H147" s="2">
        <v>410</v>
      </c>
      <c r="I147" s="2">
        <v>-307</v>
      </c>
      <c r="J147">
        <v>1</v>
      </c>
    </row>
    <row r="148" spans="1:10" x14ac:dyDescent="0.35">
      <c r="A148" s="2">
        <v>2</v>
      </c>
      <c r="B148" s="2">
        <v>30.5</v>
      </c>
      <c r="C148" s="2">
        <v>71</v>
      </c>
      <c r="D148" s="2">
        <v>2620</v>
      </c>
      <c r="E148" s="2">
        <v>-5568</v>
      </c>
      <c r="F148" s="2">
        <v>13720</v>
      </c>
      <c r="G148" s="2">
        <v>-222</v>
      </c>
      <c r="H148" s="2">
        <v>287</v>
      </c>
      <c r="I148" s="2">
        <v>-228</v>
      </c>
      <c r="J148">
        <v>1</v>
      </c>
    </row>
    <row r="149" spans="1:10" x14ac:dyDescent="0.35">
      <c r="A149" s="2">
        <v>2</v>
      </c>
      <c r="B149" s="2">
        <v>30.5</v>
      </c>
      <c r="C149" s="2">
        <v>71</v>
      </c>
      <c r="D149" s="2">
        <v>2612</v>
      </c>
      <c r="E149" s="2">
        <v>-5544</v>
      </c>
      <c r="F149" s="2">
        <v>13704</v>
      </c>
      <c r="G149" s="2">
        <v>-193</v>
      </c>
      <c r="H149" s="2">
        <v>276</v>
      </c>
      <c r="I149" s="2">
        <v>-257</v>
      </c>
      <c r="J149">
        <v>1</v>
      </c>
    </row>
    <row r="150" spans="1:10" x14ac:dyDescent="0.35">
      <c r="A150" s="2">
        <v>2</v>
      </c>
      <c r="B150" s="2">
        <v>30.5</v>
      </c>
      <c r="C150" s="2">
        <v>71</v>
      </c>
      <c r="D150" s="2">
        <v>2488</v>
      </c>
      <c r="E150" s="2">
        <v>-5556</v>
      </c>
      <c r="F150" s="2">
        <v>13668</v>
      </c>
      <c r="G150" s="2">
        <v>-225</v>
      </c>
      <c r="H150" s="2">
        <v>308</v>
      </c>
      <c r="I150" s="2">
        <v>-259</v>
      </c>
      <c r="J150">
        <v>1</v>
      </c>
    </row>
    <row r="151" spans="1:10" x14ac:dyDescent="0.35">
      <c r="A151" s="2">
        <v>2</v>
      </c>
      <c r="B151" s="2">
        <v>30.5</v>
      </c>
      <c r="C151" s="2">
        <v>71</v>
      </c>
      <c r="D151" s="2">
        <v>2656</v>
      </c>
      <c r="E151" s="2">
        <v>-5584</v>
      </c>
      <c r="F151" s="2">
        <v>13640</v>
      </c>
      <c r="G151" s="2">
        <v>-218</v>
      </c>
      <c r="H151" s="2">
        <v>231</v>
      </c>
      <c r="I151" s="2">
        <v>-229</v>
      </c>
      <c r="J151">
        <v>1</v>
      </c>
    </row>
    <row r="152" spans="1:10" x14ac:dyDescent="0.35">
      <c r="A152" s="2">
        <v>2</v>
      </c>
      <c r="B152" s="2">
        <v>30.5</v>
      </c>
      <c r="C152" s="2">
        <v>72</v>
      </c>
      <c r="D152" s="2">
        <v>2632</v>
      </c>
      <c r="E152" s="2">
        <v>-5640</v>
      </c>
      <c r="F152" s="2">
        <v>13684</v>
      </c>
      <c r="G152" s="2">
        <v>-231</v>
      </c>
      <c r="H152" s="2">
        <v>346</v>
      </c>
      <c r="I152" s="2">
        <v>-271</v>
      </c>
      <c r="J152">
        <v>1</v>
      </c>
    </row>
    <row r="153" spans="1:10" x14ac:dyDescent="0.35">
      <c r="A153" s="2">
        <v>2</v>
      </c>
      <c r="B153" s="2">
        <v>30.5</v>
      </c>
      <c r="C153" s="2">
        <v>71</v>
      </c>
      <c r="D153" s="2">
        <v>2816</v>
      </c>
      <c r="E153" s="2">
        <v>-5888</v>
      </c>
      <c r="F153" s="2">
        <v>13676</v>
      </c>
      <c r="G153" s="2">
        <v>-265</v>
      </c>
      <c r="H153" s="2">
        <v>704</v>
      </c>
      <c r="I153" s="2">
        <v>-233</v>
      </c>
      <c r="J153">
        <v>1</v>
      </c>
    </row>
    <row r="154" spans="1:10" x14ac:dyDescent="0.35">
      <c r="A154" s="2">
        <v>2</v>
      </c>
      <c r="B154" s="2">
        <v>30.5</v>
      </c>
      <c r="C154" s="2">
        <v>71</v>
      </c>
      <c r="D154" s="2">
        <v>2572</v>
      </c>
      <c r="E154" s="2">
        <v>-5504</v>
      </c>
      <c r="F154" s="2">
        <v>13612</v>
      </c>
      <c r="G154" s="2">
        <v>-188</v>
      </c>
      <c r="H154" s="2">
        <v>371</v>
      </c>
      <c r="I154" s="2">
        <v>-234</v>
      </c>
      <c r="J154">
        <v>1</v>
      </c>
    </row>
    <row r="155" spans="1:10" x14ac:dyDescent="0.35">
      <c r="A155" s="2">
        <v>2</v>
      </c>
      <c r="B155" s="2">
        <v>30.5</v>
      </c>
      <c r="C155" s="2">
        <v>71</v>
      </c>
      <c r="D155" s="2">
        <v>2600</v>
      </c>
      <c r="E155" s="2">
        <v>-5600</v>
      </c>
      <c r="F155" s="2">
        <v>13728</v>
      </c>
      <c r="G155" s="2">
        <v>-194</v>
      </c>
      <c r="H155" s="2">
        <v>316</v>
      </c>
      <c r="I155" s="2">
        <v>-221</v>
      </c>
      <c r="J155">
        <v>1</v>
      </c>
    </row>
    <row r="156" spans="1:10" x14ac:dyDescent="0.35">
      <c r="A156" s="2">
        <v>2</v>
      </c>
      <c r="B156" s="2">
        <v>30.5</v>
      </c>
      <c r="C156" s="2">
        <v>71</v>
      </c>
      <c r="D156" s="2">
        <v>2740</v>
      </c>
      <c r="E156" s="2">
        <v>-5592</v>
      </c>
      <c r="F156" s="2">
        <v>13716</v>
      </c>
      <c r="G156" s="2">
        <v>-202</v>
      </c>
      <c r="H156" s="2">
        <v>778</v>
      </c>
      <c r="I156" s="2">
        <v>-256</v>
      </c>
      <c r="J156">
        <v>1</v>
      </c>
    </row>
    <row r="157" spans="1:10" x14ac:dyDescent="0.35">
      <c r="A157" s="2">
        <v>2</v>
      </c>
      <c r="B157" s="2">
        <v>30.5</v>
      </c>
      <c r="C157" s="2">
        <v>71</v>
      </c>
      <c r="D157" s="2">
        <v>2472</v>
      </c>
      <c r="E157" s="2">
        <v>-5608</v>
      </c>
      <c r="F157" s="2">
        <v>14312</v>
      </c>
      <c r="G157" s="2">
        <v>-277</v>
      </c>
      <c r="H157" s="2">
        <v>579</v>
      </c>
      <c r="I157" s="2">
        <v>-306</v>
      </c>
      <c r="J157">
        <v>1</v>
      </c>
    </row>
    <row r="158" spans="1:10" x14ac:dyDescent="0.35">
      <c r="A158" s="2">
        <v>2</v>
      </c>
      <c r="B158" s="2">
        <v>30.5</v>
      </c>
      <c r="C158" s="2">
        <v>70</v>
      </c>
      <c r="D158" s="2">
        <v>2564</v>
      </c>
      <c r="E158" s="2">
        <v>-5556</v>
      </c>
      <c r="F158" s="2">
        <v>13564</v>
      </c>
      <c r="G158" s="2">
        <v>-238</v>
      </c>
      <c r="H158" s="2">
        <v>268</v>
      </c>
      <c r="I158" s="2">
        <v>-302</v>
      </c>
      <c r="J158">
        <v>1</v>
      </c>
    </row>
    <row r="159" spans="1:10" x14ac:dyDescent="0.35">
      <c r="A159" s="2">
        <v>2</v>
      </c>
      <c r="B159" s="2">
        <v>30.6</v>
      </c>
      <c r="C159" s="2">
        <v>70</v>
      </c>
      <c r="D159" s="2">
        <v>2764</v>
      </c>
      <c r="E159" s="2">
        <v>-5560</v>
      </c>
      <c r="F159" s="2">
        <v>13792</v>
      </c>
      <c r="G159" s="2">
        <v>-275</v>
      </c>
      <c r="H159" s="2">
        <v>309</v>
      </c>
      <c r="I159" s="2">
        <v>-276</v>
      </c>
      <c r="J159">
        <v>1</v>
      </c>
    </row>
    <row r="160" spans="1:10" x14ac:dyDescent="0.35">
      <c r="A160" s="2">
        <v>2</v>
      </c>
      <c r="B160" s="2">
        <v>30.5</v>
      </c>
      <c r="C160" s="2">
        <v>71</v>
      </c>
      <c r="D160" s="2">
        <v>2496</v>
      </c>
      <c r="E160" s="2">
        <v>-5520</v>
      </c>
      <c r="F160" s="2">
        <v>13628</v>
      </c>
      <c r="G160" s="2">
        <v>-211</v>
      </c>
      <c r="H160" s="2">
        <v>269</v>
      </c>
      <c r="I160" s="2">
        <v>-276</v>
      </c>
      <c r="J160">
        <v>1</v>
      </c>
    </row>
    <row r="161" spans="1:10" x14ac:dyDescent="0.35">
      <c r="A161" s="2">
        <v>2</v>
      </c>
      <c r="B161" s="2">
        <v>30.6</v>
      </c>
      <c r="C161" s="2">
        <v>71</v>
      </c>
      <c r="D161" s="2">
        <v>2532</v>
      </c>
      <c r="E161" s="2">
        <v>-5600</v>
      </c>
      <c r="F161" s="2">
        <v>13768</v>
      </c>
      <c r="G161" s="2">
        <v>-208</v>
      </c>
      <c r="H161" s="2">
        <v>310</v>
      </c>
      <c r="I161" s="2">
        <v>-253</v>
      </c>
      <c r="J161">
        <v>1</v>
      </c>
    </row>
    <row r="162" spans="1:10" x14ac:dyDescent="0.35">
      <c r="A162" s="2">
        <v>2</v>
      </c>
      <c r="B162" s="2">
        <v>30.6</v>
      </c>
      <c r="C162" s="2">
        <v>70</v>
      </c>
      <c r="D162" s="2">
        <v>2540</v>
      </c>
      <c r="E162" s="2">
        <v>-5616</v>
      </c>
      <c r="F162" s="2">
        <v>13808</v>
      </c>
      <c r="G162" s="2">
        <v>-244</v>
      </c>
      <c r="H162" s="2">
        <v>376</v>
      </c>
      <c r="I162" s="2">
        <v>-259</v>
      </c>
      <c r="J162">
        <v>1</v>
      </c>
    </row>
    <row r="163" spans="1:10" x14ac:dyDescent="0.35">
      <c r="A163" s="2">
        <v>2</v>
      </c>
      <c r="B163" s="2">
        <v>30.5</v>
      </c>
      <c r="C163" s="2">
        <v>71</v>
      </c>
      <c r="D163" s="2">
        <v>2608</v>
      </c>
      <c r="E163" s="2">
        <v>-5592</v>
      </c>
      <c r="F163" s="2">
        <v>13876</v>
      </c>
      <c r="G163" s="2">
        <v>-199</v>
      </c>
      <c r="H163" s="2">
        <v>250</v>
      </c>
      <c r="I163" s="2">
        <v>-275</v>
      </c>
      <c r="J163">
        <v>1</v>
      </c>
    </row>
    <row r="164" spans="1:10" x14ac:dyDescent="0.35">
      <c r="A164" s="2">
        <v>2</v>
      </c>
      <c r="B164" s="2">
        <v>30.6</v>
      </c>
      <c r="C164" s="2">
        <v>71</v>
      </c>
      <c r="D164" s="2">
        <v>2604</v>
      </c>
      <c r="E164" s="2">
        <v>-5476</v>
      </c>
      <c r="F164" s="2">
        <v>13640</v>
      </c>
      <c r="G164" s="2">
        <v>-214</v>
      </c>
      <c r="H164" s="2">
        <v>325</v>
      </c>
      <c r="I164" s="2">
        <v>-253</v>
      </c>
      <c r="J164">
        <v>1</v>
      </c>
    </row>
    <row r="165" spans="1:10" x14ac:dyDescent="0.35">
      <c r="A165" s="2">
        <v>2</v>
      </c>
      <c r="B165" s="2">
        <v>30.5</v>
      </c>
      <c r="C165" s="2">
        <v>72</v>
      </c>
      <c r="D165" s="2">
        <v>2628</v>
      </c>
      <c r="E165" s="2">
        <v>-5616</v>
      </c>
      <c r="F165" s="2">
        <v>13676</v>
      </c>
      <c r="G165" s="2">
        <v>-217</v>
      </c>
      <c r="H165" s="2">
        <v>327</v>
      </c>
      <c r="I165" s="2">
        <v>-261</v>
      </c>
      <c r="J165">
        <v>1</v>
      </c>
    </row>
    <row r="166" spans="1:10" x14ac:dyDescent="0.35">
      <c r="A166" s="2">
        <v>2</v>
      </c>
      <c r="B166" s="2">
        <v>30.5</v>
      </c>
      <c r="C166" s="2">
        <v>72</v>
      </c>
      <c r="D166" s="2">
        <v>2644</v>
      </c>
      <c r="E166" s="2">
        <v>-5536</v>
      </c>
      <c r="F166" s="2">
        <v>13728</v>
      </c>
      <c r="G166" s="2">
        <v>-214</v>
      </c>
      <c r="H166" s="2">
        <v>286</v>
      </c>
      <c r="I166" s="2">
        <v>-231</v>
      </c>
      <c r="J166">
        <v>1</v>
      </c>
    </row>
    <row r="167" spans="1:10" x14ac:dyDescent="0.35">
      <c r="A167" s="2">
        <v>2</v>
      </c>
      <c r="B167" s="2">
        <v>30.5</v>
      </c>
      <c r="C167" s="2">
        <v>72</v>
      </c>
      <c r="D167" s="2">
        <v>2820</v>
      </c>
      <c r="E167" s="2">
        <v>-5648</v>
      </c>
      <c r="F167" s="2">
        <v>13708</v>
      </c>
      <c r="G167" s="2">
        <v>-292</v>
      </c>
      <c r="H167" s="2">
        <v>929</v>
      </c>
      <c r="I167" s="2">
        <v>-303</v>
      </c>
      <c r="J167">
        <v>1</v>
      </c>
    </row>
    <row r="168" spans="1:10" x14ac:dyDescent="0.35">
      <c r="A168" s="2">
        <v>2</v>
      </c>
      <c r="B168" s="2">
        <v>30.5</v>
      </c>
      <c r="C168" s="2">
        <v>72</v>
      </c>
      <c r="D168" s="2">
        <v>2492</v>
      </c>
      <c r="E168" s="2">
        <v>-5552</v>
      </c>
      <c r="F168" s="2">
        <v>13764</v>
      </c>
      <c r="G168" s="2">
        <v>-215</v>
      </c>
      <c r="H168" s="2">
        <v>395</v>
      </c>
      <c r="I168" s="2">
        <v>-303</v>
      </c>
      <c r="J168">
        <v>1</v>
      </c>
    </row>
    <row r="169" spans="1:10" x14ac:dyDescent="0.35">
      <c r="A169" s="2">
        <v>2</v>
      </c>
      <c r="B169" s="2">
        <v>30.5</v>
      </c>
      <c r="C169" s="2">
        <v>72</v>
      </c>
      <c r="D169" s="2">
        <v>2528</v>
      </c>
      <c r="E169" s="2">
        <v>-5528</v>
      </c>
      <c r="F169" s="2">
        <v>13800</v>
      </c>
      <c r="G169" s="2">
        <v>-164</v>
      </c>
      <c r="H169" s="2">
        <v>218</v>
      </c>
      <c r="I169" s="2">
        <v>-260</v>
      </c>
      <c r="J169">
        <v>1</v>
      </c>
    </row>
    <row r="170" spans="1:10" x14ac:dyDescent="0.35">
      <c r="A170" s="2">
        <v>2</v>
      </c>
      <c r="B170" s="2">
        <v>30.5</v>
      </c>
      <c r="C170" s="2">
        <v>73</v>
      </c>
      <c r="D170" s="2">
        <v>2580</v>
      </c>
      <c r="E170" s="2">
        <v>-5544</v>
      </c>
      <c r="F170" s="2">
        <v>13832</v>
      </c>
      <c r="G170" s="2">
        <v>-279</v>
      </c>
      <c r="H170" s="2">
        <v>522</v>
      </c>
      <c r="I170" s="2">
        <v>-259</v>
      </c>
      <c r="J170">
        <v>1</v>
      </c>
    </row>
    <row r="171" spans="1:10" x14ac:dyDescent="0.35">
      <c r="A171" s="2">
        <v>2</v>
      </c>
      <c r="B171" s="2">
        <v>30.5</v>
      </c>
      <c r="C171" s="2">
        <v>72</v>
      </c>
      <c r="D171" s="2">
        <v>2556</v>
      </c>
      <c r="E171" s="2">
        <v>-5624</v>
      </c>
      <c r="F171" s="2">
        <v>13612</v>
      </c>
      <c r="G171" s="2">
        <v>-254</v>
      </c>
      <c r="H171" s="2">
        <v>652</v>
      </c>
      <c r="I171" s="2">
        <v>-222</v>
      </c>
      <c r="J171">
        <v>1</v>
      </c>
    </row>
    <row r="172" spans="1:10" x14ac:dyDescent="0.35">
      <c r="A172" s="2">
        <v>2</v>
      </c>
      <c r="B172" s="2">
        <v>30.6</v>
      </c>
      <c r="C172" s="2">
        <v>72</v>
      </c>
      <c r="D172" s="2">
        <v>2656</v>
      </c>
      <c r="E172" s="2">
        <v>-5572</v>
      </c>
      <c r="F172" s="2">
        <v>13756</v>
      </c>
      <c r="G172" s="2">
        <v>-207</v>
      </c>
      <c r="H172" s="2">
        <v>300</v>
      </c>
      <c r="I172" s="2">
        <v>-271</v>
      </c>
      <c r="J172">
        <v>1</v>
      </c>
    </row>
    <row r="173" spans="1:10" x14ac:dyDescent="0.35">
      <c r="A173" s="2">
        <v>2</v>
      </c>
      <c r="B173" s="2">
        <v>30.5</v>
      </c>
      <c r="C173" s="2">
        <v>72</v>
      </c>
      <c r="D173" s="2">
        <v>2636</v>
      </c>
      <c r="E173" s="2">
        <v>-5584</v>
      </c>
      <c r="F173" s="2">
        <v>13656</v>
      </c>
      <c r="G173" s="2">
        <v>-260</v>
      </c>
      <c r="H173" s="2">
        <v>317</v>
      </c>
      <c r="I173" s="2">
        <v>-254</v>
      </c>
      <c r="J173">
        <v>1</v>
      </c>
    </row>
    <row r="174" spans="1:10" x14ac:dyDescent="0.35">
      <c r="A174" s="2">
        <v>2</v>
      </c>
      <c r="B174" s="2">
        <v>30.6</v>
      </c>
      <c r="C174" s="2">
        <v>71</v>
      </c>
      <c r="D174" s="2">
        <v>2556</v>
      </c>
      <c r="E174" s="2">
        <v>-5608</v>
      </c>
      <c r="F174" s="2">
        <v>13796</v>
      </c>
      <c r="G174" s="2">
        <v>-293</v>
      </c>
      <c r="H174" s="2">
        <v>468</v>
      </c>
      <c r="I174" s="2">
        <v>-459</v>
      </c>
      <c r="J174">
        <v>1</v>
      </c>
    </row>
    <row r="175" spans="1:10" x14ac:dyDescent="0.35">
      <c r="A175" s="2">
        <v>2</v>
      </c>
      <c r="B175" s="2">
        <v>30.5</v>
      </c>
      <c r="C175" s="2">
        <v>71</v>
      </c>
      <c r="D175" s="2">
        <v>2760</v>
      </c>
      <c r="E175" s="2">
        <v>-5548</v>
      </c>
      <c r="F175" s="2">
        <v>13668</v>
      </c>
      <c r="G175" s="2">
        <v>-289</v>
      </c>
      <c r="H175" s="2">
        <v>595</v>
      </c>
      <c r="I175" s="2">
        <v>-368</v>
      </c>
      <c r="J175">
        <v>1</v>
      </c>
    </row>
    <row r="176" spans="1:10" x14ac:dyDescent="0.35">
      <c r="A176" s="2">
        <v>2</v>
      </c>
      <c r="B176" s="2">
        <v>30.5</v>
      </c>
      <c r="C176" s="2">
        <v>71</v>
      </c>
      <c r="D176" s="2">
        <v>2640</v>
      </c>
      <c r="E176" s="2">
        <v>-5696</v>
      </c>
      <c r="F176" s="2">
        <v>13568</v>
      </c>
      <c r="G176" s="2">
        <v>-316</v>
      </c>
      <c r="H176" s="2">
        <v>527</v>
      </c>
      <c r="I176" s="2">
        <v>-244</v>
      </c>
      <c r="J176">
        <v>1</v>
      </c>
    </row>
    <row r="177" spans="1:10" x14ac:dyDescent="0.35">
      <c r="A177" s="2">
        <v>2</v>
      </c>
      <c r="B177" s="2">
        <v>30.5</v>
      </c>
      <c r="C177" s="2">
        <v>72</v>
      </c>
      <c r="D177" s="2">
        <v>2596</v>
      </c>
      <c r="E177" s="2">
        <v>-5576</v>
      </c>
      <c r="F177" s="2">
        <v>13768</v>
      </c>
      <c r="G177" s="2">
        <v>-257</v>
      </c>
      <c r="H177" s="2">
        <v>334</v>
      </c>
      <c r="I177" s="2">
        <v>-236</v>
      </c>
      <c r="J177">
        <v>1</v>
      </c>
    </row>
    <row r="178" spans="1:10" x14ac:dyDescent="0.35">
      <c r="A178" s="2">
        <v>2</v>
      </c>
      <c r="B178" s="2">
        <v>30.5</v>
      </c>
      <c r="C178" s="2">
        <v>72</v>
      </c>
      <c r="D178" s="2">
        <v>2728</v>
      </c>
      <c r="E178" s="2">
        <v>-5548</v>
      </c>
      <c r="F178" s="2">
        <v>13796</v>
      </c>
      <c r="G178" s="2">
        <v>-260</v>
      </c>
      <c r="H178" s="2">
        <v>699</v>
      </c>
      <c r="I178" s="2">
        <v>-262</v>
      </c>
      <c r="J178">
        <v>1</v>
      </c>
    </row>
    <row r="179" spans="1:10" x14ac:dyDescent="0.35">
      <c r="A179" s="2">
        <v>2</v>
      </c>
      <c r="B179" s="2">
        <v>30.7</v>
      </c>
      <c r="C179" s="2">
        <v>71</v>
      </c>
      <c r="D179" s="2">
        <v>2604</v>
      </c>
      <c r="E179" s="2">
        <v>-5684</v>
      </c>
      <c r="F179" s="2">
        <v>13724</v>
      </c>
      <c r="G179" s="2">
        <v>-244</v>
      </c>
      <c r="H179" s="2">
        <v>-544</v>
      </c>
      <c r="I179" s="2">
        <v>-392</v>
      </c>
      <c r="J179">
        <v>1</v>
      </c>
    </row>
    <row r="180" spans="1:10" x14ac:dyDescent="0.35">
      <c r="A180" s="2">
        <v>2</v>
      </c>
      <c r="B180" s="2">
        <v>30.5</v>
      </c>
      <c r="C180" s="2">
        <v>73</v>
      </c>
      <c r="D180" s="2">
        <v>2712</v>
      </c>
      <c r="E180" s="2">
        <v>-5584</v>
      </c>
      <c r="F180" s="2">
        <v>13772</v>
      </c>
      <c r="G180" s="2">
        <v>-199</v>
      </c>
      <c r="H180" s="2">
        <v>320</v>
      </c>
      <c r="I180" s="2">
        <v>-303</v>
      </c>
      <c r="J180">
        <v>1</v>
      </c>
    </row>
    <row r="181" spans="1:10" x14ac:dyDescent="0.35">
      <c r="A181" s="2">
        <v>2</v>
      </c>
      <c r="B181" s="2">
        <v>30.6</v>
      </c>
      <c r="C181" s="2">
        <v>72</v>
      </c>
      <c r="D181" s="2">
        <v>2676</v>
      </c>
      <c r="E181" s="2">
        <v>-5580</v>
      </c>
      <c r="F181" s="2">
        <v>13688</v>
      </c>
      <c r="G181" s="2">
        <v>-221</v>
      </c>
      <c r="H181" s="2">
        <v>248</v>
      </c>
      <c r="I181" s="2">
        <v>-243</v>
      </c>
      <c r="J181">
        <v>1</v>
      </c>
    </row>
    <row r="182" spans="1:10" x14ac:dyDescent="0.35">
      <c r="A182" s="2">
        <v>2</v>
      </c>
      <c r="B182" s="2">
        <v>30.5</v>
      </c>
      <c r="C182" s="2">
        <v>72</v>
      </c>
      <c r="D182" s="2">
        <v>2848</v>
      </c>
      <c r="E182" s="2">
        <v>-5504</v>
      </c>
      <c r="F182" s="2">
        <v>14020</v>
      </c>
      <c r="G182" s="2">
        <v>-448</v>
      </c>
      <c r="H182" s="2">
        <v>378</v>
      </c>
      <c r="I182" s="2">
        <v>-253</v>
      </c>
      <c r="J182">
        <v>1</v>
      </c>
    </row>
    <row r="183" spans="1:10" x14ac:dyDescent="0.35">
      <c r="A183" s="2">
        <v>2</v>
      </c>
      <c r="B183" s="2">
        <v>30.6</v>
      </c>
      <c r="C183" s="2">
        <v>71</v>
      </c>
      <c r="D183" s="2">
        <v>2792</v>
      </c>
      <c r="E183" s="2">
        <v>-5580</v>
      </c>
      <c r="F183" s="2">
        <v>13656</v>
      </c>
      <c r="G183" s="2">
        <v>-366</v>
      </c>
      <c r="H183" s="2">
        <v>609</v>
      </c>
      <c r="I183" s="2">
        <v>-253</v>
      </c>
      <c r="J183">
        <v>1</v>
      </c>
    </row>
    <row r="184" spans="1:10" x14ac:dyDescent="0.35">
      <c r="A184" s="2">
        <v>2</v>
      </c>
      <c r="B184" s="2">
        <v>30.5</v>
      </c>
      <c r="C184" s="2">
        <v>71</v>
      </c>
      <c r="D184" s="2">
        <v>2720</v>
      </c>
      <c r="E184" s="2">
        <v>-5652</v>
      </c>
      <c r="F184" s="2">
        <v>13704</v>
      </c>
      <c r="G184" s="2">
        <v>-204</v>
      </c>
      <c r="H184" s="2">
        <v>359</v>
      </c>
      <c r="I184" s="2">
        <v>-256</v>
      </c>
      <c r="J184">
        <v>1</v>
      </c>
    </row>
    <row r="185" spans="1:10" x14ac:dyDescent="0.35">
      <c r="A185" s="2">
        <v>2</v>
      </c>
      <c r="B185" s="2">
        <v>30.6</v>
      </c>
      <c r="C185" s="2">
        <v>71</v>
      </c>
      <c r="D185" s="2">
        <v>2496</v>
      </c>
      <c r="E185" s="2">
        <v>-5572</v>
      </c>
      <c r="F185" s="2">
        <v>13760</v>
      </c>
      <c r="G185" s="2">
        <v>-277</v>
      </c>
      <c r="H185" s="2">
        <v>455</v>
      </c>
      <c r="I185" s="2">
        <v>-270</v>
      </c>
      <c r="J185">
        <v>1</v>
      </c>
    </row>
    <row r="186" spans="1:10" x14ac:dyDescent="0.35">
      <c r="A186" s="2">
        <v>2</v>
      </c>
      <c r="B186" s="2">
        <v>30.5</v>
      </c>
      <c r="C186" s="2">
        <v>71</v>
      </c>
      <c r="D186" s="2">
        <v>2524</v>
      </c>
      <c r="E186" s="2">
        <v>-5580</v>
      </c>
      <c r="F186" s="2">
        <v>13688</v>
      </c>
      <c r="G186" s="2">
        <v>-208</v>
      </c>
      <c r="H186" s="2">
        <v>368</v>
      </c>
      <c r="I186" s="2">
        <v>-265</v>
      </c>
      <c r="J186">
        <v>1</v>
      </c>
    </row>
    <row r="187" spans="1:10" x14ac:dyDescent="0.35">
      <c r="A187" s="2">
        <v>2</v>
      </c>
      <c r="B187" s="2">
        <v>30.5</v>
      </c>
      <c r="C187" s="2">
        <v>70</v>
      </c>
      <c r="D187" s="2">
        <v>2648</v>
      </c>
      <c r="E187" s="2">
        <v>-5468</v>
      </c>
      <c r="F187" s="2">
        <v>13932</v>
      </c>
      <c r="G187" s="2">
        <v>-223</v>
      </c>
      <c r="H187" s="2">
        <v>335</v>
      </c>
      <c r="I187" s="2">
        <v>-408</v>
      </c>
      <c r="J187">
        <v>1</v>
      </c>
    </row>
    <row r="188" spans="1:10" x14ac:dyDescent="0.35">
      <c r="A188" s="2">
        <v>2</v>
      </c>
      <c r="B188" s="2">
        <v>30.6</v>
      </c>
      <c r="C188" s="2">
        <v>71</v>
      </c>
      <c r="D188" s="2">
        <v>2692</v>
      </c>
      <c r="E188" s="2">
        <v>-5656</v>
      </c>
      <c r="F188" s="2">
        <v>13708</v>
      </c>
      <c r="G188" s="2">
        <v>-243</v>
      </c>
      <c r="H188" s="2">
        <v>530</v>
      </c>
      <c r="I188" s="2">
        <v>-232</v>
      </c>
      <c r="J188">
        <v>1</v>
      </c>
    </row>
    <row r="189" spans="1:10" x14ac:dyDescent="0.35">
      <c r="A189" s="2">
        <v>2</v>
      </c>
      <c r="B189" s="2">
        <v>30.5</v>
      </c>
      <c r="C189" s="2">
        <v>71</v>
      </c>
      <c r="D189" s="2">
        <v>2584</v>
      </c>
      <c r="E189" s="2">
        <v>-5680</v>
      </c>
      <c r="F189" s="2">
        <v>13696</v>
      </c>
      <c r="G189" s="2">
        <v>-294</v>
      </c>
      <c r="H189" s="2">
        <v>532</v>
      </c>
      <c r="I189" s="2">
        <v>-231</v>
      </c>
      <c r="J189">
        <v>1</v>
      </c>
    </row>
    <row r="190" spans="1:10" x14ac:dyDescent="0.35">
      <c r="A190" s="2">
        <v>2</v>
      </c>
      <c r="B190" s="2">
        <v>30.5</v>
      </c>
      <c r="C190" s="2">
        <v>71</v>
      </c>
      <c r="D190" s="2">
        <v>2756</v>
      </c>
      <c r="E190" s="2">
        <v>-5512</v>
      </c>
      <c r="F190" s="2">
        <v>13572</v>
      </c>
      <c r="G190" s="2">
        <v>-242</v>
      </c>
      <c r="H190" s="2">
        <v>615</v>
      </c>
      <c r="I190" s="2">
        <v>-198</v>
      </c>
      <c r="J190">
        <v>1</v>
      </c>
    </row>
    <row r="191" spans="1:10" x14ac:dyDescent="0.35">
      <c r="A191" s="2">
        <v>2</v>
      </c>
      <c r="B191" s="2">
        <v>30.5</v>
      </c>
      <c r="C191" s="2">
        <v>70</v>
      </c>
      <c r="D191" s="2">
        <v>2640</v>
      </c>
      <c r="E191" s="2">
        <v>-5652</v>
      </c>
      <c r="F191" s="2">
        <v>13708</v>
      </c>
      <c r="G191" s="2">
        <v>-268</v>
      </c>
      <c r="H191" s="2">
        <v>621</v>
      </c>
      <c r="I191" s="2">
        <v>-219</v>
      </c>
      <c r="J191">
        <v>1</v>
      </c>
    </row>
    <row r="192" spans="1:10" x14ac:dyDescent="0.35">
      <c r="A192" s="2">
        <v>2</v>
      </c>
      <c r="B192" s="2">
        <v>30.5</v>
      </c>
      <c r="C192" s="2">
        <v>70</v>
      </c>
      <c r="D192" s="2">
        <v>2608</v>
      </c>
      <c r="E192" s="2">
        <v>-5624</v>
      </c>
      <c r="F192" s="2">
        <v>13704</v>
      </c>
      <c r="G192" s="2">
        <v>-257</v>
      </c>
      <c r="H192" s="2">
        <v>426</v>
      </c>
      <c r="I192" s="2">
        <v>-240</v>
      </c>
      <c r="J192">
        <v>1</v>
      </c>
    </row>
    <row r="193" spans="1:10" x14ac:dyDescent="0.35">
      <c r="A193" s="2">
        <v>2</v>
      </c>
      <c r="B193" s="2">
        <v>30.6</v>
      </c>
      <c r="C193" s="2">
        <v>71</v>
      </c>
      <c r="D193" s="2">
        <v>2620</v>
      </c>
      <c r="E193" s="2">
        <v>-5624</v>
      </c>
      <c r="F193" s="2">
        <v>13620</v>
      </c>
      <c r="G193" s="2">
        <v>-219</v>
      </c>
      <c r="H193" s="2">
        <v>252</v>
      </c>
      <c r="I193" s="2">
        <v>-237</v>
      </c>
      <c r="J193">
        <v>1</v>
      </c>
    </row>
    <row r="194" spans="1:10" x14ac:dyDescent="0.35">
      <c r="A194" s="2">
        <v>2</v>
      </c>
      <c r="B194" s="2">
        <v>30.5</v>
      </c>
      <c r="C194" s="2">
        <v>71</v>
      </c>
      <c r="D194" s="2">
        <v>2564</v>
      </c>
      <c r="E194" s="2">
        <v>-5676</v>
      </c>
      <c r="F194" s="2">
        <v>13696</v>
      </c>
      <c r="G194" s="2">
        <v>-304</v>
      </c>
      <c r="H194" s="2">
        <v>308</v>
      </c>
      <c r="I194" s="2">
        <v>-232</v>
      </c>
      <c r="J194">
        <v>1</v>
      </c>
    </row>
    <row r="195" spans="1:10" x14ac:dyDescent="0.35">
      <c r="A195" s="2">
        <v>2</v>
      </c>
      <c r="B195" s="2">
        <v>30.6</v>
      </c>
      <c r="C195" s="2">
        <v>71</v>
      </c>
      <c r="D195" s="2">
        <v>2792</v>
      </c>
      <c r="E195" s="2">
        <v>-5512</v>
      </c>
      <c r="F195" s="2">
        <v>13620</v>
      </c>
      <c r="G195" s="2">
        <v>-255</v>
      </c>
      <c r="H195" s="2">
        <v>314</v>
      </c>
      <c r="I195" s="2">
        <v>-265</v>
      </c>
      <c r="J195">
        <v>1</v>
      </c>
    </row>
    <row r="196" spans="1:10" x14ac:dyDescent="0.35">
      <c r="A196" s="2">
        <v>2</v>
      </c>
      <c r="B196" s="2">
        <v>30.5</v>
      </c>
      <c r="C196" s="2">
        <v>70</v>
      </c>
      <c r="D196" s="2">
        <v>2452</v>
      </c>
      <c r="E196" s="2">
        <v>-5536</v>
      </c>
      <c r="F196" s="2">
        <v>13704</v>
      </c>
      <c r="G196" s="2">
        <v>-174</v>
      </c>
      <c r="H196" s="2">
        <v>290</v>
      </c>
      <c r="I196" s="2">
        <v>-247</v>
      </c>
      <c r="J196">
        <v>1</v>
      </c>
    </row>
    <row r="197" spans="1:10" x14ac:dyDescent="0.35">
      <c r="A197" s="2">
        <v>2</v>
      </c>
      <c r="B197" s="2">
        <v>30.5</v>
      </c>
      <c r="C197" s="2">
        <v>70</v>
      </c>
      <c r="D197" s="2">
        <v>2556</v>
      </c>
      <c r="E197" s="2">
        <v>-5664</v>
      </c>
      <c r="F197" s="2">
        <v>13700</v>
      </c>
      <c r="G197" s="2">
        <v>-200</v>
      </c>
      <c r="H197" s="2">
        <v>414</v>
      </c>
      <c r="I197" s="2">
        <v>-416</v>
      </c>
      <c r="J197">
        <v>1</v>
      </c>
    </row>
    <row r="198" spans="1:10" x14ac:dyDescent="0.35">
      <c r="A198" s="2">
        <v>2</v>
      </c>
      <c r="B198" s="2">
        <v>30.6</v>
      </c>
      <c r="C198" s="2">
        <v>70</v>
      </c>
      <c r="D198" s="2">
        <v>2912</v>
      </c>
      <c r="E198" s="2">
        <v>-5632</v>
      </c>
      <c r="F198" s="2">
        <v>13636</v>
      </c>
      <c r="G198" s="2">
        <v>-263</v>
      </c>
      <c r="H198" s="2">
        <v>606</v>
      </c>
      <c r="I198" s="2">
        <v>-397</v>
      </c>
      <c r="J198">
        <v>1</v>
      </c>
    </row>
    <row r="199" spans="1:10" x14ac:dyDescent="0.35">
      <c r="A199" s="2">
        <v>2</v>
      </c>
      <c r="B199" s="2">
        <v>30.5</v>
      </c>
      <c r="C199" s="2">
        <v>70</v>
      </c>
      <c r="D199" s="2">
        <v>2660</v>
      </c>
      <c r="E199" s="2">
        <v>-5624</v>
      </c>
      <c r="F199" s="2">
        <v>13744</v>
      </c>
      <c r="G199" s="2">
        <v>-277</v>
      </c>
      <c r="H199" s="2">
        <v>357</v>
      </c>
      <c r="I199" s="2">
        <v>-248</v>
      </c>
      <c r="J199">
        <v>1</v>
      </c>
    </row>
    <row r="200" spans="1:10" x14ac:dyDescent="0.35">
      <c r="A200" s="2">
        <v>2</v>
      </c>
      <c r="B200" s="2">
        <v>30.5</v>
      </c>
      <c r="C200" s="2">
        <v>70</v>
      </c>
      <c r="D200" s="2">
        <v>2544</v>
      </c>
      <c r="E200" s="2">
        <v>-5708</v>
      </c>
      <c r="F200" s="2">
        <v>13664</v>
      </c>
      <c r="G200" s="2">
        <v>-264</v>
      </c>
      <c r="H200" s="2">
        <v>382</v>
      </c>
      <c r="I200" s="2">
        <v>-249</v>
      </c>
      <c r="J200">
        <v>1</v>
      </c>
    </row>
    <row r="201" spans="1:10" x14ac:dyDescent="0.35">
      <c r="A201" s="2">
        <v>2</v>
      </c>
      <c r="B201" s="2">
        <v>30.6</v>
      </c>
      <c r="C201" s="2">
        <v>70</v>
      </c>
      <c r="D201" s="2">
        <v>2544</v>
      </c>
      <c r="E201" s="2">
        <v>-5496</v>
      </c>
      <c r="F201" s="2">
        <v>13796</v>
      </c>
      <c r="G201" s="2">
        <v>-214</v>
      </c>
      <c r="H201" s="2">
        <v>383</v>
      </c>
      <c r="I201" s="2">
        <v>-236</v>
      </c>
      <c r="J201">
        <v>1</v>
      </c>
    </row>
    <row r="202" spans="1:10" x14ac:dyDescent="0.35">
      <c r="A202" s="2">
        <v>2</v>
      </c>
      <c r="B202" s="2">
        <v>30.6</v>
      </c>
      <c r="C202" s="2">
        <v>70</v>
      </c>
      <c r="D202" s="2">
        <v>2924</v>
      </c>
      <c r="E202" s="2">
        <v>-5548</v>
      </c>
      <c r="F202" s="2">
        <v>13656</v>
      </c>
      <c r="G202" s="2">
        <v>-231</v>
      </c>
      <c r="H202" s="2">
        <v>481</v>
      </c>
      <c r="I202" s="2">
        <v>-329</v>
      </c>
      <c r="J202">
        <v>1</v>
      </c>
    </row>
    <row r="203" spans="1:10" x14ac:dyDescent="0.35">
      <c r="A203" s="2">
        <v>2</v>
      </c>
      <c r="B203" s="2">
        <v>30.7</v>
      </c>
      <c r="C203" s="2">
        <v>69</v>
      </c>
      <c r="D203" s="2">
        <v>2676</v>
      </c>
      <c r="E203" s="2">
        <v>-5568</v>
      </c>
      <c r="F203" s="2">
        <v>13800</v>
      </c>
      <c r="G203" s="2">
        <v>-190</v>
      </c>
      <c r="H203" s="2">
        <v>256</v>
      </c>
      <c r="I203" s="2">
        <v>-327</v>
      </c>
      <c r="J203">
        <v>1</v>
      </c>
    </row>
    <row r="204" spans="1:10" x14ac:dyDescent="0.35">
      <c r="A204" s="2">
        <v>2</v>
      </c>
      <c r="B204" s="2">
        <v>30.5</v>
      </c>
      <c r="C204" s="2">
        <v>70</v>
      </c>
      <c r="D204" s="2">
        <v>2524</v>
      </c>
      <c r="E204" s="2">
        <v>-5556</v>
      </c>
      <c r="F204" s="2">
        <v>13796</v>
      </c>
      <c r="G204" s="2">
        <v>-246</v>
      </c>
      <c r="H204" s="2">
        <v>354</v>
      </c>
      <c r="I204" s="2">
        <v>-295</v>
      </c>
      <c r="J204">
        <v>1</v>
      </c>
    </row>
    <row r="205" spans="1:10" x14ac:dyDescent="0.35">
      <c r="A205" s="2">
        <v>2</v>
      </c>
      <c r="B205" s="2">
        <v>30.5</v>
      </c>
      <c r="C205" s="2">
        <v>71</v>
      </c>
      <c r="D205" s="2">
        <v>2652</v>
      </c>
      <c r="E205" s="2">
        <v>-5516</v>
      </c>
      <c r="F205" s="2">
        <v>13680</v>
      </c>
      <c r="G205" s="2">
        <v>-222</v>
      </c>
      <c r="H205" s="2">
        <v>438</v>
      </c>
      <c r="I205" s="2">
        <v>-223</v>
      </c>
      <c r="J205">
        <v>1</v>
      </c>
    </row>
    <row r="206" spans="1:10" x14ac:dyDescent="0.35">
      <c r="A206" s="2">
        <v>2</v>
      </c>
      <c r="B206" s="2">
        <v>30.6</v>
      </c>
      <c r="C206" s="2">
        <v>71</v>
      </c>
      <c r="D206" s="2">
        <v>2676</v>
      </c>
      <c r="E206" s="2">
        <v>-5648</v>
      </c>
      <c r="F206" s="2">
        <v>13664</v>
      </c>
      <c r="G206" s="2">
        <v>-207</v>
      </c>
      <c r="H206" s="2">
        <v>272</v>
      </c>
      <c r="I206" s="2">
        <v>-258</v>
      </c>
      <c r="J206">
        <v>1</v>
      </c>
    </row>
    <row r="207" spans="1:10" x14ac:dyDescent="0.35">
      <c r="A207" s="2">
        <v>2</v>
      </c>
      <c r="B207" s="2">
        <v>30.5</v>
      </c>
      <c r="C207" s="2">
        <v>71</v>
      </c>
      <c r="D207" s="2">
        <v>2604</v>
      </c>
      <c r="E207" s="2">
        <v>-5600</v>
      </c>
      <c r="F207" s="2">
        <v>13668</v>
      </c>
      <c r="G207" s="2">
        <v>-231</v>
      </c>
      <c r="H207" s="2">
        <v>335</v>
      </c>
      <c r="I207" s="2">
        <v>-237</v>
      </c>
      <c r="J207">
        <v>1</v>
      </c>
    </row>
    <row r="208" spans="1:10" x14ac:dyDescent="0.35">
      <c r="A208" s="2">
        <v>2</v>
      </c>
      <c r="B208" s="2">
        <v>30.5</v>
      </c>
      <c r="C208" s="2">
        <v>71</v>
      </c>
      <c r="D208" s="2">
        <v>2496</v>
      </c>
      <c r="E208" s="2">
        <v>-5728</v>
      </c>
      <c r="F208" s="2">
        <v>13688</v>
      </c>
      <c r="G208" s="2">
        <v>-260</v>
      </c>
      <c r="H208" s="2">
        <v>325</v>
      </c>
      <c r="I208" s="2">
        <v>-234</v>
      </c>
      <c r="J208">
        <v>1</v>
      </c>
    </row>
    <row r="209" spans="1:10" x14ac:dyDescent="0.35">
      <c r="A209" s="2">
        <v>2</v>
      </c>
      <c r="B209" s="2">
        <v>30.6</v>
      </c>
      <c r="C209" s="2">
        <v>70</v>
      </c>
      <c r="D209" s="2">
        <v>2728</v>
      </c>
      <c r="E209" s="2">
        <v>-5540</v>
      </c>
      <c r="F209" s="2">
        <v>13868</v>
      </c>
      <c r="G209" s="2">
        <v>-232</v>
      </c>
      <c r="H209" s="2">
        <v>362</v>
      </c>
      <c r="I209" s="2">
        <v>-298</v>
      </c>
      <c r="J209">
        <v>1</v>
      </c>
    </row>
    <row r="210" spans="1:10" x14ac:dyDescent="0.35">
      <c r="A210" s="2">
        <v>2</v>
      </c>
      <c r="B210" s="2">
        <v>30.5</v>
      </c>
      <c r="C210" s="2">
        <v>71</v>
      </c>
      <c r="D210" s="2">
        <v>2588</v>
      </c>
      <c r="E210" s="2">
        <v>-5704</v>
      </c>
      <c r="F210" s="2">
        <v>13680</v>
      </c>
      <c r="G210" s="2">
        <v>-184</v>
      </c>
      <c r="H210" s="2">
        <v>488</v>
      </c>
      <c r="I210" s="2">
        <v>-252</v>
      </c>
      <c r="J210">
        <v>1</v>
      </c>
    </row>
    <row r="211" spans="1:10" x14ac:dyDescent="0.35">
      <c r="A211" s="2">
        <v>2</v>
      </c>
      <c r="B211" s="2">
        <v>30.5</v>
      </c>
      <c r="C211" s="2">
        <v>71</v>
      </c>
      <c r="D211" s="2">
        <v>2552</v>
      </c>
      <c r="E211" s="2">
        <v>-5596</v>
      </c>
      <c r="F211" s="2">
        <v>13672</v>
      </c>
      <c r="G211" s="2">
        <v>-285</v>
      </c>
      <c r="H211" s="2">
        <v>281</v>
      </c>
      <c r="I211" s="2">
        <v>-302</v>
      </c>
      <c r="J211">
        <v>1</v>
      </c>
    </row>
    <row r="212" spans="1:10" x14ac:dyDescent="0.35">
      <c r="A212" s="2">
        <v>2</v>
      </c>
      <c r="B212" s="2">
        <v>30.7</v>
      </c>
      <c r="C212" s="2">
        <v>71</v>
      </c>
      <c r="D212" s="2">
        <v>2540</v>
      </c>
      <c r="E212" s="2">
        <v>-5568</v>
      </c>
      <c r="F212" s="2">
        <v>13712</v>
      </c>
      <c r="G212" s="2">
        <v>-190</v>
      </c>
      <c r="H212" s="2">
        <v>371</v>
      </c>
      <c r="I212" s="2">
        <v>-252</v>
      </c>
      <c r="J212">
        <v>1</v>
      </c>
    </row>
    <row r="213" spans="1:10" x14ac:dyDescent="0.35">
      <c r="A213" s="2">
        <v>2</v>
      </c>
      <c r="B213" s="2">
        <v>30.6</v>
      </c>
      <c r="C213" s="2">
        <v>70</v>
      </c>
      <c r="D213" s="2">
        <v>2560</v>
      </c>
      <c r="E213" s="2">
        <v>-5516</v>
      </c>
      <c r="F213" s="2">
        <v>13688</v>
      </c>
      <c r="G213" s="2">
        <v>-217</v>
      </c>
      <c r="H213" s="2">
        <v>294</v>
      </c>
      <c r="I213" s="2">
        <v>-230</v>
      </c>
      <c r="J213">
        <v>1</v>
      </c>
    </row>
    <row r="214" spans="1:10" x14ac:dyDescent="0.35">
      <c r="A214" s="2">
        <v>2</v>
      </c>
      <c r="B214" s="2">
        <v>30.6</v>
      </c>
      <c r="C214" s="2">
        <v>70</v>
      </c>
      <c r="D214" s="2">
        <v>2560</v>
      </c>
      <c r="E214" s="2">
        <v>-5596</v>
      </c>
      <c r="F214" s="2">
        <v>13708</v>
      </c>
      <c r="G214" s="2">
        <v>-194</v>
      </c>
      <c r="H214" s="2">
        <v>301</v>
      </c>
      <c r="I214" s="2">
        <v>-265</v>
      </c>
      <c r="J214">
        <v>1</v>
      </c>
    </row>
    <row r="215" spans="1:10" x14ac:dyDescent="0.35">
      <c r="A215" s="2">
        <v>2</v>
      </c>
      <c r="B215" s="2">
        <v>30.6</v>
      </c>
      <c r="C215" s="2">
        <v>70</v>
      </c>
      <c r="D215" s="2">
        <v>2628</v>
      </c>
      <c r="E215" s="2">
        <v>-5644</v>
      </c>
      <c r="F215" s="2">
        <v>13604</v>
      </c>
      <c r="G215" s="2">
        <v>-262</v>
      </c>
      <c r="H215" s="2">
        <v>383</v>
      </c>
      <c r="I215" s="2">
        <v>-249</v>
      </c>
      <c r="J215">
        <v>1</v>
      </c>
    </row>
    <row r="216" spans="1:10" x14ac:dyDescent="0.35">
      <c r="A216" s="2">
        <v>2</v>
      </c>
      <c r="B216" s="2">
        <v>30.6</v>
      </c>
      <c r="C216" s="2">
        <v>69</v>
      </c>
      <c r="D216" s="2">
        <v>2540</v>
      </c>
      <c r="E216" s="2">
        <v>-5684</v>
      </c>
      <c r="F216" s="2">
        <v>13716</v>
      </c>
      <c r="G216" s="2">
        <v>-203</v>
      </c>
      <c r="H216" s="2">
        <v>310</v>
      </c>
      <c r="I216" s="2">
        <v>-284</v>
      </c>
      <c r="J216">
        <v>1</v>
      </c>
    </row>
    <row r="217" spans="1:10" x14ac:dyDescent="0.35">
      <c r="A217" s="2">
        <v>2</v>
      </c>
      <c r="B217" s="2">
        <v>30.6</v>
      </c>
      <c r="C217" s="2">
        <v>70</v>
      </c>
      <c r="D217" s="2">
        <v>2592</v>
      </c>
      <c r="E217" s="2">
        <v>-5568</v>
      </c>
      <c r="F217" s="2">
        <v>13760</v>
      </c>
      <c r="G217" s="2">
        <v>-342</v>
      </c>
      <c r="H217" s="2">
        <v>395</v>
      </c>
      <c r="I217" s="2">
        <v>-283</v>
      </c>
      <c r="J217">
        <v>1</v>
      </c>
    </row>
    <row r="218" spans="1:10" x14ac:dyDescent="0.35">
      <c r="A218" s="2">
        <v>2</v>
      </c>
      <c r="B218" s="2">
        <v>30.6</v>
      </c>
      <c r="C218" s="2">
        <v>71</v>
      </c>
      <c r="D218" s="2">
        <v>2536</v>
      </c>
      <c r="E218" s="2">
        <v>-5608</v>
      </c>
      <c r="F218" s="2">
        <v>13708</v>
      </c>
      <c r="G218" s="2">
        <v>-212</v>
      </c>
      <c r="H218" s="2">
        <v>279</v>
      </c>
      <c r="I218" s="2">
        <v>-247</v>
      </c>
      <c r="J218">
        <v>1</v>
      </c>
    </row>
    <row r="219" spans="1:10" x14ac:dyDescent="0.35">
      <c r="A219" s="2">
        <v>2</v>
      </c>
      <c r="B219" s="2">
        <v>30.6</v>
      </c>
      <c r="C219" s="2">
        <v>70</v>
      </c>
      <c r="D219" s="2">
        <v>2588</v>
      </c>
      <c r="E219" s="2">
        <v>-5608</v>
      </c>
      <c r="F219" s="2">
        <v>13752</v>
      </c>
      <c r="G219" s="2">
        <v>-197</v>
      </c>
      <c r="H219" s="2">
        <v>310</v>
      </c>
      <c r="I219" s="2">
        <v>-235</v>
      </c>
      <c r="J219">
        <v>1</v>
      </c>
    </row>
    <row r="220" spans="1:10" x14ac:dyDescent="0.35">
      <c r="A220" s="2">
        <v>2</v>
      </c>
      <c r="B220" s="2">
        <v>30.7</v>
      </c>
      <c r="C220" s="2">
        <v>70</v>
      </c>
      <c r="D220" s="2">
        <v>2592</v>
      </c>
      <c r="E220" s="2">
        <v>-5532</v>
      </c>
      <c r="F220" s="2">
        <v>13744</v>
      </c>
      <c r="G220" s="2">
        <v>-188</v>
      </c>
      <c r="H220" s="2">
        <v>266</v>
      </c>
      <c r="I220" s="2">
        <v>-239</v>
      </c>
      <c r="J220">
        <v>1</v>
      </c>
    </row>
    <row r="221" spans="1:10" x14ac:dyDescent="0.35">
      <c r="A221" s="2">
        <v>2</v>
      </c>
      <c r="B221" s="2">
        <v>30.6</v>
      </c>
      <c r="C221" s="2">
        <v>70</v>
      </c>
      <c r="D221" s="2">
        <v>2528</v>
      </c>
      <c r="E221" s="2">
        <v>-5568</v>
      </c>
      <c r="F221" s="2">
        <v>13728</v>
      </c>
      <c r="G221" s="2">
        <v>-195</v>
      </c>
      <c r="H221" s="2">
        <v>285</v>
      </c>
      <c r="I221" s="2">
        <v>-234</v>
      </c>
      <c r="J221">
        <v>1</v>
      </c>
    </row>
    <row r="222" spans="1:10" x14ac:dyDescent="0.35">
      <c r="A222" s="2">
        <v>2</v>
      </c>
      <c r="B222" s="2">
        <v>30.7</v>
      </c>
      <c r="C222" s="2">
        <v>70</v>
      </c>
      <c r="D222" s="2">
        <v>2604</v>
      </c>
      <c r="E222" s="2">
        <v>-5592</v>
      </c>
      <c r="F222" s="2">
        <v>13708</v>
      </c>
      <c r="G222" s="2">
        <v>-212</v>
      </c>
      <c r="H222" s="2">
        <v>274</v>
      </c>
      <c r="I222" s="2">
        <v>-234</v>
      </c>
      <c r="J222">
        <v>1</v>
      </c>
    </row>
    <row r="223" spans="1:10" x14ac:dyDescent="0.35">
      <c r="A223" s="2">
        <v>2</v>
      </c>
      <c r="B223" s="2">
        <v>30.6</v>
      </c>
      <c r="C223" s="2">
        <v>71</v>
      </c>
      <c r="D223" s="2">
        <v>2492</v>
      </c>
      <c r="E223" s="2">
        <v>-5568</v>
      </c>
      <c r="F223" s="2">
        <v>13768</v>
      </c>
      <c r="G223" s="2">
        <v>-241</v>
      </c>
      <c r="H223" s="2">
        <v>362</v>
      </c>
      <c r="I223" s="2">
        <v>-220</v>
      </c>
      <c r="J223">
        <v>1</v>
      </c>
    </row>
    <row r="224" spans="1:10" x14ac:dyDescent="0.35">
      <c r="A224" s="2">
        <v>2</v>
      </c>
      <c r="B224" s="2">
        <v>30.5</v>
      </c>
      <c r="C224" s="2">
        <v>71</v>
      </c>
      <c r="D224" s="2">
        <v>2484</v>
      </c>
      <c r="E224" s="2">
        <v>-5536</v>
      </c>
      <c r="F224" s="2">
        <v>13640</v>
      </c>
      <c r="G224" s="2">
        <v>-210</v>
      </c>
      <c r="H224" s="2">
        <v>319</v>
      </c>
      <c r="I224" s="2">
        <v>-245</v>
      </c>
      <c r="J224">
        <v>1</v>
      </c>
    </row>
    <row r="225" spans="1:10" x14ac:dyDescent="0.35">
      <c r="A225" s="2">
        <v>2</v>
      </c>
      <c r="B225" s="2">
        <v>30.6</v>
      </c>
      <c r="C225" s="2">
        <v>72</v>
      </c>
      <c r="D225" s="2">
        <v>2548</v>
      </c>
      <c r="E225" s="2">
        <v>-5608</v>
      </c>
      <c r="F225" s="2">
        <v>13708</v>
      </c>
      <c r="G225" s="2">
        <v>-219</v>
      </c>
      <c r="H225" s="2">
        <v>274</v>
      </c>
      <c r="I225" s="2">
        <v>-237</v>
      </c>
      <c r="J225">
        <v>1</v>
      </c>
    </row>
    <row r="226" spans="1:10" x14ac:dyDescent="0.35">
      <c r="A226" s="2">
        <v>2</v>
      </c>
      <c r="B226" s="2">
        <v>30.5</v>
      </c>
      <c r="C226" s="2">
        <v>72</v>
      </c>
      <c r="D226" s="2">
        <v>2532</v>
      </c>
      <c r="E226" s="2">
        <v>-5580</v>
      </c>
      <c r="F226" s="2">
        <v>13716</v>
      </c>
      <c r="G226" s="2">
        <v>-201</v>
      </c>
      <c r="H226" s="2">
        <v>308</v>
      </c>
      <c r="I226" s="2">
        <v>-229</v>
      </c>
      <c r="J226">
        <v>1</v>
      </c>
    </row>
    <row r="227" spans="1:10" x14ac:dyDescent="0.35">
      <c r="A227" s="2">
        <v>2</v>
      </c>
      <c r="B227" s="2">
        <v>30.7</v>
      </c>
      <c r="C227" s="2">
        <v>72</v>
      </c>
      <c r="D227" s="2">
        <v>2576</v>
      </c>
      <c r="E227" s="2">
        <v>-5564</v>
      </c>
      <c r="F227" s="2">
        <v>13700</v>
      </c>
      <c r="G227" s="2">
        <v>-189</v>
      </c>
      <c r="H227" s="2">
        <v>274</v>
      </c>
      <c r="I227" s="2">
        <v>-228</v>
      </c>
      <c r="J227">
        <v>1</v>
      </c>
    </row>
    <row r="228" spans="1:10" x14ac:dyDescent="0.35">
      <c r="A228" s="2">
        <v>2</v>
      </c>
      <c r="B228" s="2">
        <v>30.6</v>
      </c>
      <c r="C228" s="2">
        <v>72</v>
      </c>
      <c r="D228" s="2">
        <v>2488</v>
      </c>
      <c r="E228" s="2">
        <v>-5496</v>
      </c>
      <c r="F228" s="2">
        <v>13640</v>
      </c>
      <c r="G228" s="2">
        <v>-213</v>
      </c>
      <c r="H228" s="2">
        <v>369</v>
      </c>
      <c r="I228" s="2">
        <v>-243</v>
      </c>
      <c r="J228">
        <v>1</v>
      </c>
    </row>
    <row r="229" spans="1:10" x14ac:dyDescent="0.35">
      <c r="A229" s="2">
        <v>2</v>
      </c>
      <c r="B229" s="2">
        <v>30.7</v>
      </c>
      <c r="C229" s="2">
        <v>72</v>
      </c>
      <c r="D229" s="2">
        <v>2536</v>
      </c>
      <c r="E229" s="2">
        <v>-5540</v>
      </c>
      <c r="F229" s="2">
        <v>13728</v>
      </c>
      <c r="G229" s="2">
        <v>-207</v>
      </c>
      <c r="H229" s="2">
        <v>283</v>
      </c>
      <c r="I229" s="2">
        <v>-238</v>
      </c>
      <c r="J229">
        <v>1</v>
      </c>
    </row>
    <row r="230" spans="1:10" x14ac:dyDescent="0.35">
      <c r="A230" s="2">
        <v>2</v>
      </c>
      <c r="B230" s="2">
        <v>30.6</v>
      </c>
      <c r="C230" s="2">
        <v>72</v>
      </c>
      <c r="D230" s="2">
        <v>2536</v>
      </c>
      <c r="E230" s="2">
        <v>-5536</v>
      </c>
      <c r="F230" s="2">
        <v>13752</v>
      </c>
      <c r="G230" s="2">
        <v>-194</v>
      </c>
      <c r="H230" s="2">
        <v>277</v>
      </c>
      <c r="I230" s="2">
        <v>-261</v>
      </c>
      <c r="J230">
        <v>1</v>
      </c>
    </row>
    <row r="231" spans="1:10" x14ac:dyDescent="0.35">
      <c r="A231" s="2">
        <v>2</v>
      </c>
      <c r="B231" s="2">
        <v>30.7</v>
      </c>
      <c r="C231" s="2">
        <v>72</v>
      </c>
      <c r="D231" s="2">
        <v>2528</v>
      </c>
      <c r="E231" s="2">
        <v>-5572</v>
      </c>
      <c r="F231" s="2">
        <v>13808</v>
      </c>
      <c r="G231" s="2">
        <v>-218</v>
      </c>
      <c r="H231" s="2">
        <v>279</v>
      </c>
      <c r="I231" s="2">
        <v>-237</v>
      </c>
      <c r="J231">
        <v>1</v>
      </c>
    </row>
    <row r="232" spans="1:10" x14ac:dyDescent="0.35">
      <c r="A232" s="2">
        <v>2</v>
      </c>
      <c r="B232" s="2">
        <v>30.6</v>
      </c>
      <c r="C232" s="2">
        <v>72</v>
      </c>
      <c r="D232" s="2">
        <v>2496</v>
      </c>
      <c r="E232" s="2">
        <v>-5600</v>
      </c>
      <c r="F232" s="2">
        <v>13788</v>
      </c>
      <c r="G232" s="2">
        <v>-210</v>
      </c>
      <c r="H232" s="2">
        <v>284</v>
      </c>
      <c r="I232" s="2">
        <v>-230</v>
      </c>
      <c r="J232">
        <v>1</v>
      </c>
    </row>
    <row r="233" spans="1:10" x14ac:dyDescent="0.35">
      <c r="A233" s="2">
        <v>2</v>
      </c>
      <c r="B233" s="2">
        <v>30.5</v>
      </c>
      <c r="C233" s="2">
        <v>71</v>
      </c>
      <c r="D233" s="2">
        <v>2592</v>
      </c>
      <c r="E233" s="2">
        <v>-5500</v>
      </c>
      <c r="F233" s="2">
        <v>13584</v>
      </c>
      <c r="G233" s="2">
        <v>-195</v>
      </c>
      <c r="H233" s="2">
        <v>252</v>
      </c>
      <c r="I233" s="2">
        <v>-249</v>
      </c>
      <c r="J233">
        <v>1</v>
      </c>
    </row>
    <row r="234" spans="1:10" x14ac:dyDescent="0.35">
      <c r="A234" s="2">
        <v>2</v>
      </c>
      <c r="B234" s="2">
        <v>30.5</v>
      </c>
      <c r="C234" s="2">
        <v>72</v>
      </c>
      <c r="D234" s="2">
        <v>2532</v>
      </c>
      <c r="E234" s="2">
        <v>-5504</v>
      </c>
      <c r="F234" s="2">
        <v>13596</v>
      </c>
      <c r="G234" s="2">
        <v>-190</v>
      </c>
      <c r="H234" s="2">
        <v>306</v>
      </c>
      <c r="I234" s="2">
        <v>-232</v>
      </c>
      <c r="J234">
        <v>1</v>
      </c>
    </row>
    <row r="235" spans="1:10" x14ac:dyDescent="0.35">
      <c r="A235" s="2">
        <v>2</v>
      </c>
      <c r="B235" s="2">
        <v>30.5</v>
      </c>
      <c r="C235" s="2">
        <v>72</v>
      </c>
      <c r="D235" s="2">
        <v>2528</v>
      </c>
      <c r="E235" s="2">
        <v>-5568</v>
      </c>
      <c r="F235" s="2">
        <v>13660</v>
      </c>
      <c r="G235" s="2">
        <v>-245</v>
      </c>
      <c r="H235" s="2">
        <v>326</v>
      </c>
      <c r="I235" s="2">
        <v>-230</v>
      </c>
      <c r="J235">
        <v>1</v>
      </c>
    </row>
    <row r="236" spans="1:10" x14ac:dyDescent="0.35">
      <c r="A236" s="2">
        <v>2</v>
      </c>
      <c r="B236" s="2">
        <v>30.6</v>
      </c>
      <c r="C236" s="2">
        <v>72</v>
      </c>
      <c r="D236" s="2">
        <v>2644</v>
      </c>
      <c r="E236" s="2">
        <v>-5596</v>
      </c>
      <c r="F236" s="2">
        <v>13740</v>
      </c>
      <c r="G236" s="2">
        <v>-297</v>
      </c>
      <c r="H236" s="2">
        <v>246</v>
      </c>
      <c r="I236" s="2">
        <v>-251</v>
      </c>
      <c r="J236">
        <v>1</v>
      </c>
    </row>
    <row r="237" spans="1:10" x14ac:dyDescent="0.35">
      <c r="A237" s="2">
        <v>2</v>
      </c>
      <c r="B237" s="2">
        <v>30.5</v>
      </c>
      <c r="C237" s="2">
        <v>71</v>
      </c>
      <c r="D237" s="2">
        <v>2564</v>
      </c>
      <c r="E237" s="2">
        <v>-5636</v>
      </c>
      <c r="F237" s="2">
        <v>13748</v>
      </c>
      <c r="G237" s="2">
        <v>-199</v>
      </c>
      <c r="H237" s="2">
        <v>256</v>
      </c>
      <c r="I237" s="2">
        <v>-245</v>
      </c>
      <c r="J237">
        <v>1</v>
      </c>
    </row>
    <row r="238" spans="1:10" x14ac:dyDescent="0.35">
      <c r="A238" s="2">
        <v>2</v>
      </c>
      <c r="B238" s="2">
        <v>30.6</v>
      </c>
      <c r="C238" s="2">
        <v>71</v>
      </c>
      <c r="D238" s="2">
        <v>2580</v>
      </c>
      <c r="E238" s="2">
        <v>-5496</v>
      </c>
      <c r="F238" s="2">
        <v>13656</v>
      </c>
      <c r="G238" s="2">
        <v>-196</v>
      </c>
      <c r="H238" s="2">
        <v>327</v>
      </c>
      <c r="I238" s="2">
        <v>-251</v>
      </c>
      <c r="J238">
        <v>1</v>
      </c>
    </row>
    <row r="239" spans="1:10" x14ac:dyDescent="0.35">
      <c r="A239" s="2">
        <v>2</v>
      </c>
      <c r="B239" s="2">
        <v>30.5</v>
      </c>
      <c r="C239" s="2">
        <v>70</v>
      </c>
      <c r="D239" s="2">
        <v>2480</v>
      </c>
      <c r="E239" s="2">
        <v>-5528</v>
      </c>
      <c r="F239" s="2">
        <v>13808</v>
      </c>
      <c r="G239" s="2">
        <v>-186</v>
      </c>
      <c r="H239" s="2">
        <v>267</v>
      </c>
      <c r="I239" s="2">
        <v>-238</v>
      </c>
      <c r="J239">
        <v>1</v>
      </c>
    </row>
    <row r="240" spans="1:10" x14ac:dyDescent="0.35">
      <c r="A240" s="2">
        <v>2</v>
      </c>
      <c r="B240" s="2">
        <v>30.5</v>
      </c>
      <c r="C240" s="2">
        <v>70</v>
      </c>
      <c r="D240" s="2">
        <v>2472</v>
      </c>
      <c r="E240" s="2">
        <v>-5800</v>
      </c>
      <c r="F240" s="2">
        <v>13576</v>
      </c>
      <c r="G240" s="2">
        <v>-278</v>
      </c>
      <c r="H240" s="2">
        <v>421</v>
      </c>
      <c r="I240" s="2">
        <v>-215</v>
      </c>
      <c r="J240">
        <v>1</v>
      </c>
    </row>
    <row r="241" spans="1:10" x14ac:dyDescent="0.35">
      <c r="A241" s="2">
        <v>2</v>
      </c>
      <c r="B241" s="2">
        <v>30.5</v>
      </c>
      <c r="C241" s="2">
        <v>70</v>
      </c>
      <c r="D241" s="2">
        <v>2764</v>
      </c>
      <c r="E241" s="2">
        <v>-5572</v>
      </c>
      <c r="F241" s="2">
        <v>14948</v>
      </c>
      <c r="G241" s="2">
        <v>-403</v>
      </c>
      <c r="H241" s="2">
        <v>494</v>
      </c>
      <c r="I241" s="2">
        <v>-196</v>
      </c>
      <c r="J241">
        <v>1</v>
      </c>
    </row>
    <row r="242" spans="1:10" x14ac:dyDescent="0.35">
      <c r="A242" s="2">
        <v>2</v>
      </c>
      <c r="B242" s="2">
        <v>30.7</v>
      </c>
      <c r="C242" s="2">
        <v>71</v>
      </c>
      <c r="D242" s="2">
        <v>2572</v>
      </c>
      <c r="E242" s="2">
        <v>-5580</v>
      </c>
      <c r="F242" s="2">
        <v>13844</v>
      </c>
      <c r="G242" s="2">
        <v>-192</v>
      </c>
      <c r="H242" s="2">
        <v>289</v>
      </c>
      <c r="I242" s="2">
        <v>-229</v>
      </c>
      <c r="J242">
        <v>1</v>
      </c>
    </row>
    <row r="243" spans="1:10" x14ac:dyDescent="0.35">
      <c r="A243" s="2">
        <v>2</v>
      </c>
      <c r="B243" s="2">
        <v>30.5</v>
      </c>
      <c r="C243" s="2">
        <v>70</v>
      </c>
      <c r="D243" s="2">
        <v>2604</v>
      </c>
      <c r="E243" s="2">
        <v>-5588</v>
      </c>
      <c r="F243" s="2">
        <v>13668</v>
      </c>
      <c r="G243" s="2">
        <v>-229</v>
      </c>
      <c r="H243" s="2">
        <v>365</v>
      </c>
      <c r="I243" s="2">
        <v>-238</v>
      </c>
      <c r="J243">
        <v>1</v>
      </c>
    </row>
    <row r="244" spans="1:10" x14ac:dyDescent="0.35">
      <c r="A244" s="2">
        <v>2</v>
      </c>
      <c r="B244" s="2">
        <v>30.6</v>
      </c>
      <c r="C244" s="2">
        <v>71</v>
      </c>
      <c r="D244" s="2">
        <v>2492</v>
      </c>
      <c r="E244" s="2">
        <v>-5568</v>
      </c>
      <c r="F244" s="2">
        <v>13708</v>
      </c>
      <c r="G244" s="2">
        <v>-232</v>
      </c>
      <c r="H244" s="2">
        <v>359</v>
      </c>
      <c r="I244" s="2">
        <v>-257</v>
      </c>
      <c r="J244">
        <v>1</v>
      </c>
    </row>
    <row r="245" spans="1:10" x14ac:dyDescent="0.35">
      <c r="A245" s="2">
        <v>2</v>
      </c>
      <c r="B245" s="2">
        <v>30.6</v>
      </c>
      <c r="C245" s="2">
        <v>71</v>
      </c>
      <c r="D245" s="2">
        <v>2980</v>
      </c>
      <c r="E245" s="2">
        <v>-5556</v>
      </c>
      <c r="F245" s="2">
        <v>13720</v>
      </c>
      <c r="G245" s="2">
        <v>-207</v>
      </c>
      <c r="H245" s="2">
        <v>1977</v>
      </c>
      <c r="I245" s="2">
        <v>-367</v>
      </c>
      <c r="J245">
        <v>1</v>
      </c>
    </row>
    <row r="246" spans="1:10" x14ac:dyDescent="0.35">
      <c r="A246" s="2">
        <v>2</v>
      </c>
      <c r="B246" s="2">
        <v>30.6</v>
      </c>
      <c r="C246" s="2">
        <v>70</v>
      </c>
      <c r="D246" s="2">
        <v>2500</v>
      </c>
      <c r="E246" s="2">
        <v>-5616</v>
      </c>
      <c r="F246" s="2">
        <v>13980</v>
      </c>
      <c r="G246" s="2">
        <v>-200</v>
      </c>
      <c r="H246" s="2">
        <v>268</v>
      </c>
      <c r="I246" s="2">
        <v>-238</v>
      </c>
      <c r="J246">
        <v>1</v>
      </c>
    </row>
    <row r="247" spans="1:10" x14ac:dyDescent="0.35">
      <c r="A247" s="2">
        <v>2</v>
      </c>
      <c r="B247" s="2">
        <v>30.6</v>
      </c>
      <c r="C247" s="2">
        <v>70</v>
      </c>
      <c r="D247" s="2">
        <v>2492</v>
      </c>
      <c r="E247" s="2">
        <v>-5600</v>
      </c>
      <c r="F247" s="2">
        <v>13716</v>
      </c>
      <c r="G247" s="2">
        <v>-211</v>
      </c>
      <c r="H247" s="2">
        <v>257</v>
      </c>
      <c r="I247" s="2">
        <v>-242</v>
      </c>
      <c r="J247">
        <v>1</v>
      </c>
    </row>
    <row r="248" spans="1:10" x14ac:dyDescent="0.35">
      <c r="A248" s="2">
        <v>2</v>
      </c>
      <c r="B248" s="2">
        <v>30.6</v>
      </c>
      <c r="C248" s="2">
        <v>71</v>
      </c>
      <c r="D248" s="2">
        <v>2452</v>
      </c>
      <c r="E248" s="2">
        <v>-5564</v>
      </c>
      <c r="F248" s="2">
        <v>13676</v>
      </c>
      <c r="G248" s="2">
        <v>-198</v>
      </c>
      <c r="H248" s="2">
        <v>287</v>
      </c>
      <c r="I248" s="2">
        <v>-245</v>
      </c>
      <c r="J248">
        <v>1</v>
      </c>
    </row>
    <row r="249" spans="1:10" x14ac:dyDescent="0.35">
      <c r="A249" s="2">
        <v>2</v>
      </c>
      <c r="B249" s="2">
        <v>30.6</v>
      </c>
      <c r="C249" s="2">
        <v>71</v>
      </c>
      <c r="D249" s="2">
        <v>2520</v>
      </c>
      <c r="E249" s="2">
        <v>-5580</v>
      </c>
      <c r="F249" s="2">
        <v>13708</v>
      </c>
      <c r="G249" s="2">
        <v>-189</v>
      </c>
      <c r="H249" s="2">
        <v>256</v>
      </c>
      <c r="I249" s="2">
        <v>-238</v>
      </c>
      <c r="J249">
        <v>1</v>
      </c>
    </row>
    <row r="250" spans="1:10" x14ac:dyDescent="0.35">
      <c r="A250" s="2">
        <v>2</v>
      </c>
      <c r="B250" s="2">
        <v>30.5</v>
      </c>
      <c r="C250" s="2">
        <v>71</v>
      </c>
      <c r="D250" s="2">
        <v>2528</v>
      </c>
      <c r="E250" s="2">
        <v>-5556</v>
      </c>
      <c r="F250" s="2">
        <v>13704</v>
      </c>
      <c r="G250" s="2">
        <v>-200</v>
      </c>
      <c r="H250" s="2">
        <v>280</v>
      </c>
      <c r="I250" s="2">
        <v>-227</v>
      </c>
      <c r="J250">
        <v>1</v>
      </c>
    </row>
    <row r="251" spans="1:10" x14ac:dyDescent="0.35">
      <c r="A251" s="2">
        <v>2</v>
      </c>
      <c r="B251" s="2">
        <v>30.7</v>
      </c>
      <c r="C251" s="2">
        <v>72</v>
      </c>
      <c r="D251" s="2">
        <v>2524</v>
      </c>
      <c r="E251" s="2">
        <v>-5524</v>
      </c>
      <c r="F251" s="2">
        <v>13736</v>
      </c>
      <c r="G251" s="2">
        <v>-192</v>
      </c>
      <c r="H251" s="2">
        <v>281</v>
      </c>
      <c r="I251" s="2">
        <v>-233</v>
      </c>
      <c r="J251">
        <v>1</v>
      </c>
    </row>
    <row r="252" spans="1:10" x14ac:dyDescent="0.35">
      <c r="A252" s="2">
        <v>2</v>
      </c>
      <c r="B252" s="2">
        <v>30.5</v>
      </c>
      <c r="C252" s="2">
        <v>71</v>
      </c>
      <c r="D252" s="2">
        <v>2500</v>
      </c>
      <c r="E252" s="2">
        <v>-5584</v>
      </c>
      <c r="F252" s="2">
        <v>13648</v>
      </c>
      <c r="G252" s="2">
        <v>-199</v>
      </c>
      <c r="H252" s="2">
        <v>280</v>
      </c>
      <c r="I252" s="2">
        <v>-234</v>
      </c>
      <c r="J252">
        <v>1</v>
      </c>
    </row>
    <row r="253" spans="1:10" x14ac:dyDescent="0.35">
      <c r="A253" s="2">
        <v>2</v>
      </c>
      <c r="B253" s="2">
        <v>30.6</v>
      </c>
      <c r="C253" s="2">
        <v>72</v>
      </c>
      <c r="D253" s="2">
        <v>2620</v>
      </c>
      <c r="E253" s="2">
        <v>-5628</v>
      </c>
      <c r="F253" s="2">
        <v>13640</v>
      </c>
      <c r="G253" s="2">
        <v>-206</v>
      </c>
      <c r="H253" s="2">
        <v>271</v>
      </c>
      <c r="I253" s="2">
        <v>-232</v>
      </c>
      <c r="J253">
        <v>1</v>
      </c>
    </row>
    <row r="254" spans="1:10" x14ac:dyDescent="0.35">
      <c r="A254" s="2">
        <v>2</v>
      </c>
      <c r="B254" s="2">
        <v>30.6</v>
      </c>
      <c r="C254" s="2">
        <v>72</v>
      </c>
      <c r="D254" s="2">
        <v>2612</v>
      </c>
      <c r="E254" s="2">
        <v>-5604</v>
      </c>
      <c r="F254" s="2">
        <v>13648</v>
      </c>
      <c r="G254" s="2">
        <v>-203</v>
      </c>
      <c r="H254" s="2">
        <v>273</v>
      </c>
      <c r="I254" s="2">
        <v>-241</v>
      </c>
      <c r="J254">
        <v>1</v>
      </c>
    </row>
    <row r="255" spans="1:10" x14ac:dyDescent="0.35">
      <c r="A255" s="2">
        <v>2</v>
      </c>
      <c r="B255" s="2">
        <v>30.5</v>
      </c>
      <c r="C255" s="2">
        <v>72</v>
      </c>
      <c r="D255" s="2">
        <v>2580</v>
      </c>
      <c r="E255" s="2">
        <v>-5584</v>
      </c>
      <c r="F255" s="2">
        <v>13616</v>
      </c>
      <c r="G255" s="2">
        <v>-192</v>
      </c>
      <c r="H255" s="2">
        <v>268</v>
      </c>
      <c r="I255" s="2">
        <v>-239</v>
      </c>
      <c r="J255">
        <v>1</v>
      </c>
    </row>
    <row r="256" spans="1:10" x14ac:dyDescent="0.35">
      <c r="A256" s="2">
        <v>2</v>
      </c>
      <c r="B256" s="2">
        <v>30.5</v>
      </c>
      <c r="C256" s="2">
        <v>72</v>
      </c>
      <c r="D256" s="2">
        <v>2544</v>
      </c>
      <c r="E256" s="2">
        <v>-5552</v>
      </c>
      <c r="F256" s="2">
        <v>13712</v>
      </c>
      <c r="G256" s="2">
        <v>-214</v>
      </c>
      <c r="H256" s="2">
        <v>360</v>
      </c>
      <c r="I256" s="2">
        <v>-259</v>
      </c>
      <c r="J256">
        <v>1</v>
      </c>
    </row>
    <row r="257" spans="1:10" x14ac:dyDescent="0.35">
      <c r="A257" s="2">
        <v>2</v>
      </c>
      <c r="B257" s="2">
        <v>30.5</v>
      </c>
      <c r="C257" s="2">
        <v>72</v>
      </c>
      <c r="D257" s="2">
        <v>2620</v>
      </c>
      <c r="E257" s="2">
        <v>-5492</v>
      </c>
      <c r="F257" s="2">
        <v>13596</v>
      </c>
      <c r="G257" s="2">
        <v>-189</v>
      </c>
      <c r="H257" s="2">
        <v>307</v>
      </c>
      <c r="I257" s="2">
        <v>-239</v>
      </c>
      <c r="J257">
        <v>1</v>
      </c>
    </row>
    <row r="258" spans="1:10" x14ac:dyDescent="0.35">
      <c r="A258" s="2">
        <v>2</v>
      </c>
      <c r="B258" s="2">
        <v>30.5</v>
      </c>
      <c r="C258" s="2">
        <v>72</v>
      </c>
      <c r="D258" s="2">
        <v>2484</v>
      </c>
      <c r="E258" s="2">
        <v>-5520</v>
      </c>
      <c r="F258" s="2">
        <v>13748</v>
      </c>
      <c r="G258" s="2">
        <v>-196</v>
      </c>
      <c r="H258" s="2">
        <v>287</v>
      </c>
      <c r="I258" s="2">
        <v>-233</v>
      </c>
      <c r="J258">
        <v>1</v>
      </c>
    </row>
    <row r="259" spans="1:10" x14ac:dyDescent="0.35">
      <c r="A259" s="2">
        <v>2</v>
      </c>
      <c r="B259" s="2">
        <v>30.5</v>
      </c>
      <c r="C259" s="2">
        <v>72</v>
      </c>
      <c r="D259" s="2">
        <v>2472</v>
      </c>
      <c r="E259" s="2">
        <v>-5524</v>
      </c>
      <c r="F259" s="2">
        <v>13700</v>
      </c>
      <c r="G259" s="2">
        <v>-215</v>
      </c>
      <c r="H259" s="2">
        <v>308</v>
      </c>
      <c r="I259" s="2">
        <v>-240</v>
      </c>
      <c r="J259">
        <v>1</v>
      </c>
    </row>
    <row r="260" spans="1:10" x14ac:dyDescent="0.35">
      <c r="A260" s="2">
        <v>2</v>
      </c>
      <c r="B260" s="2">
        <v>30.5</v>
      </c>
      <c r="C260" s="2">
        <v>72</v>
      </c>
      <c r="D260" s="2">
        <v>2952</v>
      </c>
      <c r="E260" s="2">
        <v>-5524</v>
      </c>
      <c r="F260" s="2">
        <v>14004</v>
      </c>
      <c r="G260" s="2">
        <v>-300</v>
      </c>
      <c r="H260" s="2">
        <v>384</v>
      </c>
      <c r="I260" s="2">
        <v>-342</v>
      </c>
      <c r="J260">
        <v>1</v>
      </c>
    </row>
    <row r="261" spans="1:10" x14ac:dyDescent="0.35">
      <c r="A261" s="2">
        <v>2</v>
      </c>
      <c r="B261" s="2">
        <v>30.5</v>
      </c>
      <c r="C261" s="2">
        <v>73</v>
      </c>
      <c r="D261" s="2">
        <v>2588</v>
      </c>
      <c r="E261" s="2">
        <v>-5604</v>
      </c>
      <c r="F261" s="2">
        <v>13664</v>
      </c>
      <c r="G261" s="2">
        <v>-209</v>
      </c>
      <c r="H261" s="2">
        <v>298</v>
      </c>
      <c r="I261" s="2">
        <v>-230</v>
      </c>
      <c r="J261">
        <v>1</v>
      </c>
    </row>
    <row r="262" spans="1:10" x14ac:dyDescent="0.35">
      <c r="A262" s="2">
        <v>2</v>
      </c>
      <c r="B262" s="2">
        <v>30.5</v>
      </c>
      <c r="C262" s="2">
        <v>73</v>
      </c>
      <c r="D262" s="2">
        <v>2476</v>
      </c>
      <c r="E262" s="2">
        <v>-5644</v>
      </c>
      <c r="F262" s="2">
        <v>13756</v>
      </c>
      <c r="G262" s="2">
        <v>-217</v>
      </c>
      <c r="H262" s="2">
        <v>325</v>
      </c>
      <c r="I262" s="2">
        <v>-266</v>
      </c>
      <c r="J262">
        <v>1</v>
      </c>
    </row>
    <row r="263" spans="1:10" x14ac:dyDescent="0.35">
      <c r="A263" s="2">
        <v>2</v>
      </c>
      <c r="B263" s="2">
        <v>30.6</v>
      </c>
      <c r="C263" s="2">
        <v>72</v>
      </c>
      <c r="D263" s="2">
        <v>2588</v>
      </c>
      <c r="E263" s="2">
        <v>-5636</v>
      </c>
      <c r="F263" s="2">
        <v>13772</v>
      </c>
      <c r="G263" s="2">
        <v>-228</v>
      </c>
      <c r="H263" s="2">
        <v>276</v>
      </c>
      <c r="I263" s="2">
        <v>-239</v>
      </c>
      <c r="J263">
        <v>1</v>
      </c>
    </row>
    <row r="264" spans="1:10" x14ac:dyDescent="0.35">
      <c r="A264" s="2">
        <v>2</v>
      </c>
      <c r="B264" s="2">
        <v>30.5</v>
      </c>
      <c r="C264" s="2">
        <v>72</v>
      </c>
      <c r="D264" s="2">
        <v>2596</v>
      </c>
      <c r="E264" s="2">
        <v>-5552</v>
      </c>
      <c r="F264" s="2">
        <v>13716</v>
      </c>
      <c r="G264" s="2">
        <v>-194</v>
      </c>
      <c r="H264" s="2">
        <v>281</v>
      </c>
      <c r="I264" s="2">
        <v>-236</v>
      </c>
      <c r="J264">
        <v>1</v>
      </c>
    </row>
    <row r="265" spans="1:10" x14ac:dyDescent="0.35">
      <c r="A265" s="2">
        <v>2</v>
      </c>
      <c r="B265" s="2">
        <v>30.5</v>
      </c>
      <c r="C265" s="2">
        <v>71</v>
      </c>
      <c r="D265" s="2">
        <v>2620</v>
      </c>
      <c r="E265" s="2">
        <v>-5584</v>
      </c>
      <c r="F265" s="2">
        <v>13828</v>
      </c>
      <c r="G265" s="2">
        <v>-189</v>
      </c>
      <c r="H265" s="2">
        <v>255</v>
      </c>
      <c r="I265" s="2">
        <v>-235</v>
      </c>
      <c r="J265">
        <v>1</v>
      </c>
    </row>
    <row r="266" spans="1:10" x14ac:dyDescent="0.35">
      <c r="A266" s="2">
        <v>2</v>
      </c>
      <c r="B266" s="2">
        <v>30.5</v>
      </c>
      <c r="C266" s="2">
        <v>71</v>
      </c>
      <c r="D266" s="2">
        <v>2580</v>
      </c>
      <c r="E266" s="2">
        <v>-5608</v>
      </c>
      <c r="F266" s="2">
        <v>13684</v>
      </c>
      <c r="G266" s="2">
        <v>-184</v>
      </c>
      <c r="H266" s="2">
        <v>265</v>
      </c>
      <c r="I266" s="2">
        <v>-236</v>
      </c>
      <c r="J266">
        <v>1</v>
      </c>
    </row>
    <row r="267" spans="1:10" x14ac:dyDescent="0.35">
      <c r="A267" s="2">
        <v>2</v>
      </c>
      <c r="B267" s="2">
        <v>30.6</v>
      </c>
      <c r="C267" s="2">
        <v>70</v>
      </c>
      <c r="D267" s="2">
        <v>2576</v>
      </c>
      <c r="E267" s="2">
        <v>-5572</v>
      </c>
      <c r="F267" s="2">
        <v>13584</v>
      </c>
      <c r="G267" s="2">
        <v>-200</v>
      </c>
      <c r="H267" s="2">
        <v>287</v>
      </c>
      <c r="I267" s="2">
        <v>-267</v>
      </c>
      <c r="J267">
        <v>1</v>
      </c>
    </row>
    <row r="268" spans="1:10" x14ac:dyDescent="0.35">
      <c r="A268" s="2">
        <v>2</v>
      </c>
      <c r="B268" s="2">
        <v>30.5</v>
      </c>
      <c r="C268" s="2">
        <v>71</v>
      </c>
      <c r="D268" s="2">
        <v>2544</v>
      </c>
      <c r="E268" s="2">
        <v>-5544</v>
      </c>
      <c r="F268" s="2">
        <v>13652</v>
      </c>
      <c r="G268" s="2">
        <v>-224</v>
      </c>
      <c r="H268" s="2">
        <v>302</v>
      </c>
      <c r="I268" s="2">
        <v>-247</v>
      </c>
      <c r="J268">
        <v>1</v>
      </c>
    </row>
    <row r="269" spans="1:10" x14ac:dyDescent="0.35">
      <c r="A269" s="2">
        <v>2</v>
      </c>
      <c r="B269" s="2">
        <v>30.5</v>
      </c>
      <c r="C269" s="2">
        <v>71</v>
      </c>
      <c r="D269" s="2">
        <v>2512</v>
      </c>
      <c r="E269" s="2">
        <v>-5576</v>
      </c>
      <c r="F269" s="2">
        <v>13780</v>
      </c>
      <c r="G269" s="2">
        <v>-183</v>
      </c>
      <c r="H269" s="2">
        <v>233</v>
      </c>
      <c r="I269" s="2">
        <v>-260</v>
      </c>
      <c r="J269">
        <v>1</v>
      </c>
    </row>
    <row r="270" spans="1:10" x14ac:dyDescent="0.35">
      <c r="A270" s="2">
        <v>2</v>
      </c>
      <c r="B270" s="2">
        <v>30.5</v>
      </c>
      <c r="C270" s="2">
        <v>71</v>
      </c>
      <c r="D270" s="2">
        <v>2568</v>
      </c>
      <c r="E270" s="2">
        <v>-5536</v>
      </c>
      <c r="F270" s="2">
        <v>13852</v>
      </c>
      <c r="G270" s="2">
        <v>-212</v>
      </c>
      <c r="H270" s="2">
        <v>299</v>
      </c>
      <c r="I270" s="2">
        <v>-243</v>
      </c>
      <c r="J270">
        <v>1</v>
      </c>
    </row>
    <row r="271" spans="1:10" x14ac:dyDescent="0.35">
      <c r="A271" s="2">
        <v>2</v>
      </c>
      <c r="B271" s="2">
        <v>30.5</v>
      </c>
      <c r="C271" s="2">
        <v>71</v>
      </c>
      <c r="D271" s="2">
        <v>2480</v>
      </c>
      <c r="E271" s="2">
        <v>-5540</v>
      </c>
      <c r="F271" s="2">
        <v>13896</v>
      </c>
      <c r="G271" s="2">
        <v>-237</v>
      </c>
      <c r="H271" s="2">
        <v>975</v>
      </c>
      <c r="I271" s="2">
        <v>-400</v>
      </c>
      <c r="J271">
        <v>1</v>
      </c>
    </row>
    <row r="272" spans="1:10" x14ac:dyDescent="0.35">
      <c r="A272" s="2">
        <v>2</v>
      </c>
      <c r="B272" s="2">
        <v>30.5</v>
      </c>
      <c r="C272" s="2">
        <v>71</v>
      </c>
      <c r="D272" s="2">
        <v>2528</v>
      </c>
      <c r="E272" s="2">
        <v>-5640</v>
      </c>
      <c r="F272" s="2">
        <v>13664</v>
      </c>
      <c r="G272" s="2">
        <v>-415</v>
      </c>
      <c r="H272" s="2">
        <v>642</v>
      </c>
      <c r="I272" s="2">
        <v>-272</v>
      </c>
      <c r="J272">
        <v>1</v>
      </c>
    </row>
    <row r="273" spans="1:10" x14ac:dyDescent="0.35">
      <c r="A273" s="2">
        <v>2</v>
      </c>
      <c r="B273" s="2">
        <v>30.5</v>
      </c>
      <c r="C273" s="2">
        <v>72</v>
      </c>
      <c r="D273" s="2">
        <v>2604</v>
      </c>
      <c r="E273" s="2">
        <v>-5680</v>
      </c>
      <c r="F273" s="2">
        <v>13836</v>
      </c>
      <c r="G273" s="2">
        <v>-188</v>
      </c>
      <c r="H273" s="2">
        <v>405</v>
      </c>
      <c r="I273" s="2">
        <v>-275</v>
      </c>
      <c r="J273">
        <v>1</v>
      </c>
    </row>
    <row r="274" spans="1:10" x14ac:dyDescent="0.35">
      <c r="A274" s="2">
        <v>2</v>
      </c>
      <c r="B274" s="2">
        <v>30.5</v>
      </c>
      <c r="C274" s="2">
        <v>72</v>
      </c>
      <c r="D274" s="2">
        <v>2452</v>
      </c>
      <c r="E274" s="2">
        <v>-5560</v>
      </c>
      <c r="F274" s="2">
        <v>13664</v>
      </c>
      <c r="G274" s="2">
        <v>-235</v>
      </c>
      <c r="H274" s="2">
        <v>337</v>
      </c>
      <c r="I274" s="2">
        <v>-264</v>
      </c>
      <c r="J274">
        <v>1</v>
      </c>
    </row>
    <row r="275" spans="1:10" x14ac:dyDescent="0.35">
      <c r="A275" s="2">
        <v>2</v>
      </c>
      <c r="B275" s="2">
        <v>30.5</v>
      </c>
      <c r="C275" s="2">
        <v>72</v>
      </c>
      <c r="D275" s="2">
        <v>2432</v>
      </c>
      <c r="E275" s="2">
        <v>-5696</v>
      </c>
      <c r="F275" s="2">
        <v>13692</v>
      </c>
      <c r="G275" s="2">
        <v>-217</v>
      </c>
      <c r="H275" s="2">
        <v>273</v>
      </c>
      <c r="I275" s="2">
        <v>-260</v>
      </c>
      <c r="J275">
        <v>1</v>
      </c>
    </row>
    <row r="276" spans="1:10" x14ac:dyDescent="0.35">
      <c r="A276" s="2">
        <v>2</v>
      </c>
      <c r="B276" s="2">
        <v>30.6</v>
      </c>
      <c r="C276" s="2">
        <v>72</v>
      </c>
      <c r="D276" s="2">
        <v>2552</v>
      </c>
      <c r="E276" s="2">
        <v>-5556</v>
      </c>
      <c r="F276" s="2">
        <v>13712</v>
      </c>
      <c r="G276" s="2">
        <v>-223</v>
      </c>
      <c r="H276" s="2">
        <v>263</v>
      </c>
      <c r="I276" s="2">
        <v>-234</v>
      </c>
      <c r="J276">
        <v>1</v>
      </c>
    </row>
    <row r="277" spans="1:10" x14ac:dyDescent="0.35">
      <c r="A277" s="2">
        <v>2</v>
      </c>
      <c r="B277" s="2">
        <v>30.5</v>
      </c>
      <c r="C277" s="2">
        <v>73</v>
      </c>
      <c r="D277" s="2">
        <v>2596</v>
      </c>
      <c r="E277" s="2">
        <v>-5656</v>
      </c>
      <c r="F277" s="2">
        <v>13656</v>
      </c>
      <c r="G277" s="2">
        <v>-225</v>
      </c>
      <c r="H277" s="2">
        <v>267</v>
      </c>
      <c r="I277" s="2">
        <v>-250</v>
      </c>
      <c r="J277">
        <v>1</v>
      </c>
    </row>
    <row r="278" spans="1:10" x14ac:dyDescent="0.35">
      <c r="A278" s="2">
        <v>2</v>
      </c>
      <c r="B278" s="2">
        <v>30.5</v>
      </c>
      <c r="C278" s="2">
        <v>72</v>
      </c>
      <c r="D278" s="2">
        <v>2788</v>
      </c>
      <c r="E278" s="2">
        <v>-5524</v>
      </c>
      <c r="F278" s="2">
        <v>14088</v>
      </c>
      <c r="G278" s="2">
        <v>-242</v>
      </c>
      <c r="H278" s="2">
        <v>-810</v>
      </c>
      <c r="I278" s="2">
        <v>-418</v>
      </c>
      <c r="J278">
        <v>1</v>
      </c>
    </row>
    <row r="279" spans="1:10" x14ac:dyDescent="0.35">
      <c r="A279" s="2">
        <v>2</v>
      </c>
      <c r="B279" s="2">
        <v>30.5</v>
      </c>
      <c r="C279" s="2">
        <v>73</v>
      </c>
      <c r="D279" s="2">
        <v>2528</v>
      </c>
      <c r="E279" s="2">
        <v>-5644</v>
      </c>
      <c r="F279" s="2">
        <v>13728</v>
      </c>
      <c r="G279" s="2">
        <v>-439</v>
      </c>
      <c r="H279" s="2">
        <v>1431</v>
      </c>
      <c r="I279" s="2">
        <v>-273</v>
      </c>
      <c r="J279">
        <v>1</v>
      </c>
    </row>
    <row r="280" spans="1:10" x14ac:dyDescent="0.35">
      <c r="A280" s="2">
        <v>2</v>
      </c>
      <c r="B280" s="2">
        <v>30.5</v>
      </c>
      <c r="C280" s="2">
        <v>72</v>
      </c>
      <c r="D280" s="2">
        <v>2524</v>
      </c>
      <c r="E280" s="2">
        <v>-5628</v>
      </c>
      <c r="F280" s="2">
        <v>13704</v>
      </c>
      <c r="G280" s="2">
        <v>-249</v>
      </c>
      <c r="H280" s="2">
        <v>461</v>
      </c>
      <c r="I280" s="2">
        <v>-254</v>
      </c>
      <c r="J280">
        <v>1</v>
      </c>
    </row>
    <row r="281" spans="1:10" x14ac:dyDescent="0.35">
      <c r="A281" s="2">
        <v>2</v>
      </c>
      <c r="B281" s="2">
        <v>30.5</v>
      </c>
      <c r="C281" s="2">
        <v>72</v>
      </c>
      <c r="D281" s="2">
        <v>2744</v>
      </c>
      <c r="E281" s="2">
        <v>-5824</v>
      </c>
      <c r="F281" s="2">
        <v>13756</v>
      </c>
      <c r="G281" s="2">
        <v>-199</v>
      </c>
      <c r="H281" s="2">
        <v>-416</v>
      </c>
      <c r="I281" s="2">
        <v>-325</v>
      </c>
      <c r="J281">
        <v>1</v>
      </c>
    </row>
    <row r="282" spans="1:10" x14ac:dyDescent="0.35">
      <c r="A282" s="2">
        <v>2</v>
      </c>
      <c r="B282" s="2">
        <v>30.5</v>
      </c>
      <c r="C282" s="2">
        <v>72</v>
      </c>
      <c r="D282" s="2">
        <v>2800</v>
      </c>
      <c r="E282" s="2">
        <v>-5504</v>
      </c>
      <c r="F282" s="2">
        <v>13740</v>
      </c>
      <c r="G282" s="2">
        <v>-283</v>
      </c>
      <c r="H282" s="2">
        <v>889</v>
      </c>
      <c r="I282" s="2">
        <v>-256</v>
      </c>
      <c r="J282">
        <v>1</v>
      </c>
    </row>
    <row r="283" spans="1:10" x14ac:dyDescent="0.35">
      <c r="A283" s="2">
        <v>2</v>
      </c>
      <c r="B283" s="2">
        <v>30.5</v>
      </c>
      <c r="C283" s="2">
        <v>72</v>
      </c>
      <c r="D283" s="2">
        <v>2640</v>
      </c>
      <c r="E283" s="2">
        <v>-5700</v>
      </c>
      <c r="F283" s="2">
        <v>13644</v>
      </c>
      <c r="G283" s="2">
        <v>-210</v>
      </c>
      <c r="H283" s="2">
        <v>273</v>
      </c>
      <c r="I283" s="2">
        <v>-349</v>
      </c>
      <c r="J283">
        <v>1</v>
      </c>
    </row>
    <row r="284" spans="1:10" x14ac:dyDescent="0.35">
      <c r="A284" s="2">
        <v>2</v>
      </c>
      <c r="B284" s="2">
        <v>30.5</v>
      </c>
      <c r="C284" s="2">
        <v>72</v>
      </c>
      <c r="D284" s="2">
        <v>2812</v>
      </c>
      <c r="E284" s="2">
        <v>-5676</v>
      </c>
      <c r="F284" s="2">
        <v>13736</v>
      </c>
      <c r="G284" s="2">
        <v>-228</v>
      </c>
      <c r="H284" s="2">
        <v>289</v>
      </c>
      <c r="I284" s="2">
        <v>-273</v>
      </c>
      <c r="J284">
        <v>1</v>
      </c>
    </row>
    <row r="285" spans="1:10" x14ac:dyDescent="0.35">
      <c r="A285" s="2">
        <v>2</v>
      </c>
      <c r="B285" s="2">
        <v>30.5</v>
      </c>
      <c r="C285" s="2">
        <v>72</v>
      </c>
      <c r="D285" s="2">
        <v>2692</v>
      </c>
      <c r="E285" s="2">
        <v>-5552</v>
      </c>
      <c r="F285" s="2">
        <v>13716</v>
      </c>
      <c r="G285" s="2">
        <v>-258</v>
      </c>
      <c r="H285" s="2">
        <v>878</v>
      </c>
      <c r="I285" s="2">
        <v>-262</v>
      </c>
      <c r="J285">
        <v>1</v>
      </c>
    </row>
    <row r="286" spans="1:10" x14ac:dyDescent="0.35">
      <c r="A286" s="2">
        <v>2</v>
      </c>
      <c r="B286" s="2">
        <v>30.5</v>
      </c>
      <c r="C286" s="2">
        <v>71</v>
      </c>
      <c r="D286" s="2">
        <v>2652</v>
      </c>
      <c r="E286" s="2">
        <v>-5552</v>
      </c>
      <c r="F286" s="2">
        <v>13788</v>
      </c>
      <c r="G286" s="2">
        <v>-262</v>
      </c>
      <c r="H286" s="2">
        <v>426</v>
      </c>
      <c r="I286" s="2">
        <v>-277</v>
      </c>
      <c r="J286">
        <v>1</v>
      </c>
    </row>
    <row r="287" spans="1:10" x14ac:dyDescent="0.35">
      <c r="A287" s="2">
        <v>2</v>
      </c>
      <c r="B287" s="2">
        <v>30.5</v>
      </c>
      <c r="C287" s="2">
        <v>71</v>
      </c>
      <c r="D287" s="2">
        <v>2604</v>
      </c>
      <c r="E287" s="2">
        <v>-5676</v>
      </c>
      <c r="F287" s="2">
        <v>13732</v>
      </c>
      <c r="G287" s="2">
        <v>-251</v>
      </c>
      <c r="H287" s="2">
        <v>361</v>
      </c>
      <c r="I287" s="2">
        <v>-254</v>
      </c>
      <c r="J287">
        <v>1</v>
      </c>
    </row>
    <row r="288" spans="1:10" x14ac:dyDescent="0.35">
      <c r="A288" s="2">
        <v>2</v>
      </c>
      <c r="B288" s="2">
        <v>30.5</v>
      </c>
      <c r="C288" s="2">
        <v>71</v>
      </c>
      <c r="D288" s="2">
        <v>2616</v>
      </c>
      <c r="E288" s="2">
        <v>-5560</v>
      </c>
      <c r="F288" s="2">
        <v>13780</v>
      </c>
      <c r="G288" s="2">
        <v>-224</v>
      </c>
      <c r="H288" s="2">
        <v>400</v>
      </c>
      <c r="I288" s="2">
        <v>-303</v>
      </c>
      <c r="J288">
        <v>1</v>
      </c>
    </row>
    <row r="289" spans="1:10" x14ac:dyDescent="0.35">
      <c r="A289" s="2">
        <v>2</v>
      </c>
      <c r="B289" s="2">
        <v>30.5</v>
      </c>
      <c r="C289" s="2">
        <v>70</v>
      </c>
      <c r="D289" s="2">
        <v>2532</v>
      </c>
      <c r="E289" s="2">
        <v>-5556</v>
      </c>
      <c r="F289" s="2">
        <v>13640</v>
      </c>
      <c r="G289" s="2">
        <v>-185</v>
      </c>
      <c r="H289" s="2">
        <v>309</v>
      </c>
      <c r="I289" s="2">
        <v>-239</v>
      </c>
      <c r="J289">
        <v>1</v>
      </c>
    </row>
    <row r="290" spans="1:10" x14ac:dyDescent="0.35">
      <c r="A290" s="2">
        <v>2</v>
      </c>
      <c r="B290" s="2">
        <v>30.5</v>
      </c>
      <c r="C290" s="2">
        <v>70</v>
      </c>
      <c r="D290" s="2">
        <v>2464</v>
      </c>
      <c r="E290" s="2">
        <v>-5744</v>
      </c>
      <c r="F290" s="2">
        <v>13688</v>
      </c>
      <c r="G290" s="2">
        <v>-373</v>
      </c>
      <c r="H290" s="2">
        <v>828</v>
      </c>
      <c r="I290" s="2">
        <v>-241</v>
      </c>
      <c r="J290">
        <v>1</v>
      </c>
    </row>
    <row r="291" spans="1:10" x14ac:dyDescent="0.35">
      <c r="A291" s="2">
        <v>2</v>
      </c>
      <c r="B291" s="2">
        <v>30.5</v>
      </c>
      <c r="C291" s="2">
        <v>69</v>
      </c>
      <c r="D291" s="2">
        <v>2636</v>
      </c>
      <c r="E291" s="2">
        <v>-5548</v>
      </c>
      <c r="F291" s="2">
        <v>13676</v>
      </c>
      <c r="G291" s="2">
        <v>-262</v>
      </c>
      <c r="H291" s="2">
        <v>356</v>
      </c>
      <c r="I291" s="2">
        <v>-232</v>
      </c>
      <c r="J291">
        <v>1</v>
      </c>
    </row>
    <row r="292" spans="1:10" x14ac:dyDescent="0.35">
      <c r="A292" s="2">
        <v>2</v>
      </c>
      <c r="B292" s="2">
        <v>30.5</v>
      </c>
      <c r="C292" s="2">
        <v>70</v>
      </c>
      <c r="D292" s="2">
        <v>2560</v>
      </c>
      <c r="E292" s="2">
        <v>-5572</v>
      </c>
      <c r="F292" s="2">
        <v>13704</v>
      </c>
      <c r="G292" s="2">
        <v>-174</v>
      </c>
      <c r="H292" s="2">
        <v>248</v>
      </c>
      <c r="I292" s="2">
        <v>-271</v>
      </c>
      <c r="J292">
        <v>1</v>
      </c>
    </row>
    <row r="293" spans="1:10" x14ac:dyDescent="0.35">
      <c r="A293" s="2">
        <v>2</v>
      </c>
      <c r="B293" s="2">
        <v>30.4</v>
      </c>
      <c r="C293" s="2">
        <v>72</v>
      </c>
      <c r="D293" s="2">
        <v>2536</v>
      </c>
      <c r="E293" s="2">
        <v>-5568</v>
      </c>
      <c r="F293" s="2">
        <v>13676</v>
      </c>
      <c r="G293" s="2">
        <v>-240</v>
      </c>
      <c r="H293" s="2">
        <v>270</v>
      </c>
      <c r="I293" s="2">
        <v>-291</v>
      </c>
      <c r="J293">
        <v>1</v>
      </c>
    </row>
    <row r="294" spans="1:10" x14ac:dyDescent="0.35">
      <c r="A294" s="2">
        <v>2</v>
      </c>
      <c r="B294" s="2">
        <v>30.5</v>
      </c>
      <c r="C294" s="2">
        <v>72</v>
      </c>
      <c r="D294" s="2">
        <v>2512</v>
      </c>
      <c r="E294" s="2">
        <v>-5600</v>
      </c>
      <c r="F294" s="2">
        <v>13640</v>
      </c>
      <c r="G294" s="2">
        <v>-186</v>
      </c>
      <c r="H294" s="2">
        <v>263</v>
      </c>
      <c r="I294" s="2">
        <v>-226</v>
      </c>
      <c r="J294">
        <v>1</v>
      </c>
    </row>
    <row r="295" spans="1:10" x14ac:dyDescent="0.35">
      <c r="A295" s="2">
        <v>2</v>
      </c>
      <c r="B295" s="2">
        <v>30.5</v>
      </c>
      <c r="C295" s="2">
        <v>71</v>
      </c>
      <c r="D295" s="2">
        <v>2508</v>
      </c>
      <c r="E295" s="2">
        <v>-5592</v>
      </c>
      <c r="F295" s="2">
        <v>13812</v>
      </c>
      <c r="G295" s="2">
        <v>-190</v>
      </c>
      <c r="H295" s="2">
        <v>270</v>
      </c>
      <c r="I295" s="2">
        <v>-232</v>
      </c>
      <c r="J295">
        <v>1</v>
      </c>
    </row>
    <row r="296" spans="1:10" x14ac:dyDescent="0.35">
      <c r="A296" s="2">
        <v>2</v>
      </c>
      <c r="B296" s="2">
        <v>30.5</v>
      </c>
      <c r="C296" s="2">
        <v>71</v>
      </c>
      <c r="D296" s="2">
        <v>2532</v>
      </c>
      <c r="E296" s="2">
        <v>-5572</v>
      </c>
      <c r="F296" s="2">
        <v>13616</v>
      </c>
      <c r="G296" s="2">
        <v>-231</v>
      </c>
      <c r="H296" s="2">
        <v>325</v>
      </c>
      <c r="I296" s="2">
        <v>-235</v>
      </c>
      <c r="J296">
        <v>1</v>
      </c>
    </row>
    <row r="297" spans="1:10" x14ac:dyDescent="0.35">
      <c r="A297" s="2">
        <v>2</v>
      </c>
      <c r="B297" s="2">
        <v>30.5</v>
      </c>
      <c r="C297" s="2">
        <v>70</v>
      </c>
      <c r="D297" s="2">
        <v>2644</v>
      </c>
      <c r="E297" s="2">
        <v>-5504</v>
      </c>
      <c r="F297" s="2">
        <v>13764</v>
      </c>
      <c r="G297" s="2">
        <v>-191</v>
      </c>
      <c r="H297" s="2">
        <v>292</v>
      </c>
      <c r="I297" s="2">
        <v>-240</v>
      </c>
      <c r="J297">
        <v>1</v>
      </c>
    </row>
    <row r="298" spans="1:10" x14ac:dyDescent="0.35">
      <c r="A298" s="2">
        <v>2</v>
      </c>
      <c r="B298" s="2">
        <v>30.5</v>
      </c>
      <c r="C298" s="2">
        <v>70</v>
      </c>
      <c r="D298" s="2">
        <v>2564</v>
      </c>
      <c r="E298" s="2">
        <v>-5588</v>
      </c>
      <c r="F298" s="2">
        <v>13624</v>
      </c>
      <c r="G298" s="2">
        <v>-228</v>
      </c>
      <c r="H298" s="2">
        <v>486</v>
      </c>
      <c r="I298" s="2">
        <v>-306</v>
      </c>
      <c r="J298">
        <v>1</v>
      </c>
    </row>
    <row r="299" spans="1:10" x14ac:dyDescent="0.35">
      <c r="A299" s="2">
        <v>2</v>
      </c>
      <c r="B299" s="2">
        <v>30.5</v>
      </c>
      <c r="C299" s="2">
        <v>69</v>
      </c>
      <c r="D299" s="2">
        <v>2536</v>
      </c>
      <c r="E299" s="2">
        <v>-5572</v>
      </c>
      <c r="F299" s="2">
        <v>13800</v>
      </c>
      <c r="G299" s="2">
        <v>-284</v>
      </c>
      <c r="H299" s="2">
        <v>325</v>
      </c>
      <c r="I299" s="2">
        <v>-295</v>
      </c>
      <c r="J299">
        <v>1</v>
      </c>
    </row>
    <row r="300" spans="1:10" x14ac:dyDescent="0.35">
      <c r="A300" s="2">
        <v>2</v>
      </c>
      <c r="B300" s="2">
        <v>30.5</v>
      </c>
      <c r="C300" s="2">
        <v>69</v>
      </c>
      <c r="D300" s="2">
        <v>2560</v>
      </c>
      <c r="E300" s="2">
        <v>-5592</v>
      </c>
      <c r="F300" s="2">
        <v>13680</v>
      </c>
      <c r="G300" s="2">
        <v>-197</v>
      </c>
      <c r="H300" s="2">
        <v>351</v>
      </c>
      <c r="I300" s="2">
        <v>-251</v>
      </c>
      <c r="J300">
        <v>1</v>
      </c>
    </row>
    <row r="301" spans="1:10" x14ac:dyDescent="0.35">
      <c r="A301" s="2">
        <v>2</v>
      </c>
      <c r="B301" s="2">
        <v>30.5</v>
      </c>
      <c r="C301" s="2">
        <v>69</v>
      </c>
      <c r="D301" s="2">
        <v>2508</v>
      </c>
      <c r="E301" s="2">
        <v>-5592</v>
      </c>
      <c r="F301" s="2">
        <v>13672</v>
      </c>
      <c r="G301" s="2">
        <v>-190</v>
      </c>
      <c r="H301" s="2">
        <v>270</v>
      </c>
      <c r="I301" s="2">
        <v>-225</v>
      </c>
      <c r="J301">
        <v>1</v>
      </c>
    </row>
    <row r="302" spans="1:10" x14ac:dyDescent="0.35">
      <c r="A302" s="2">
        <v>2</v>
      </c>
      <c r="B302" s="2">
        <v>30.5</v>
      </c>
      <c r="C302" s="2">
        <v>69</v>
      </c>
      <c r="D302" s="2">
        <v>2664</v>
      </c>
      <c r="E302" s="2">
        <v>-5600</v>
      </c>
      <c r="F302" s="2">
        <v>13608</v>
      </c>
      <c r="G302" s="2">
        <v>-195</v>
      </c>
      <c r="H302" s="2">
        <v>275</v>
      </c>
      <c r="I302" s="2">
        <v>-240</v>
      </c>
      <c r="J302">
        <v>1</v>
      </c>
    </row>
    <row r="303" spans="1:10" x14ac:dyDescent="0.35">
      <c r="A303" s="2">
        <v>2</v>
      </c>
      <c r="B303" s="2">
        <v>30.5</v>
      </c>
      <c r="C303" s="2">
        <v>68</v>
      </c>
      <c r="D303" s="2">
        <v>2596</v>
      </c>
      <c r="E303" s="2">
        <v>-5608</v>
      </c>
      <c r="F303" s="2">
        <v>13744</v>
      </c>
      <c r="G303" s="2">
        <v>-200</v>
      </c>
      <c r="H303" s="2">
        <v>265</v>
      </c>
      <c r="I303" s="2">
        <v>-249</v>
      </c>
      <c r="J303">
        <v>1</v>
      </c>
    </row>
    <row r="304" spans="1:10" x14ac:dyDescent="0.35">
      <c r="A304" s="2">
        <v>2</v>
      </c>
      <c r="B304" s="2">
        <v>30.5</v>
      </c>
      <c r="C304" s="2">
        <v>68</v>
      </c>
      <c r="D304" s="2">
        <v>2488</v>
      </c>
      <c r="E304" s="2">
        <v>-5608</v>
      </c>
      <c r="F304" s="2">
        <v>13552</v>
      </c>
      <c r="G304" s="2">
        <v>-204</v>
      </c>
      <c r="H304" s="2">
        <v>264</v>
      </c>
      <c r="I304" s="2">
        <v>-220</v>
      </c>
      <c r="J304">
        <v>1</v>
      </c>
    </row>
    <row r="305" spans="1:10" x14ac:dyDescent="0.35">
      <c r="A305" s="2">
        <v>2</v>
      </c>
      <c r="B305" s="2">
        <v>30.5</v>
      </c>
      <c r="C305" s="2">
        <v>68</v>
      </c>
      <c r="D305" s="2">
        <v>2564</v>
      </c>
      <c r="E305" s="2">
        <v>-5568</v>
      </c>
      <c r="F305" s="2">
        <v>13736</v>
      </c>
      <c r="G305" s="2">
        <v>-235</v>
      </c>
      <c r="H305" s="2">
        <v>429</v>
      </c>
      <c r="I305" s="2">
        <v>-219</v>
      </c>
      <c r="J305">
        <v>1</v>
      </c>
    </row>
    <row r="306" spans="1:10" x14ac:dyDescent="0.35">
      <c r="A306" s="2">
        <v>2</v>
      </c>
      <c r="B306" s="2">
        <v>30.5</v>
      </c>
      <c r="C306" s="2">
        <v>68</v>
      </c>
      <c r="D306" s="2">
        <v>2536</v>
      </c>
      <c r="E306" s="2">
        <v>-5532</v>
      </c>
      <c r="F306" s="2">
        <v>13688</v>
      </c>
      <c r="G306" s="2">
        <v>-216</v>
      </c>
      <c r="H306" s="2">
        <v>322</v>
      </c>
      <c r="I306" s="2">
        <v>-259</v>
      </c>
      <c r="J306">
        <v>1</v>
      </c>
    </row>
    <row r="307" spans="1:10" x14ac:dyDescent="0.35">
      <c r="A307" s="2">
        <v>2</v>
      </c>
      <c r="B307" s="2">
        <v>30.5</v>
      </c>
      <c r="C307" s="2">
        <v>68</v>
      </c>
      <c r="D307" s="2">
        <v>2572</v>
      </c>
      <c r="E307" s="2">
        <v>-6428</v>
      </c>
      <c r="F307" s="2">
        <v>13696</v>
      </c>
      <c r="G307" s="2">
        <v>-234</v>
      </c>
      <c r="H307" s="2">
        <v>521</v>
      </c>
      <c r="I307" s="2">
        <v>-279</v>
      </c>
      <c r="J307">
        <v>1</v>
      </c>
    </row>
    <row r="308" spans="1:10" x14ac:dyDescent="0.35">
      <c r="A308" s="2">
        <v>2</v>
      </c>
      <c r="B308" s="2">
        <v>30.5</v>
      </c>
      <c r="C308" s="2">
        <v>68</v>
      </c>
      <c r="D308" s="2">
        <v>2564</v>
      </c>
      <c r="E308" s="2">
        <v>-5568</v>
      </c>
      <c r="F308" s="2">
        <v>13716</v>
      </c>
      <c r="G308" s="2">
        <v>-346</v>
      </c>
      <c r="H308" s="2">
        <v>261</v>
      </c>
      <c r="I308" s="2">
        <v>-220</v>
      </c>
      <c r="J308">
        <v>1</v>
      </c>
    </row>
    <row r="309" spans="1:10" x14ac:dyDescent="0.35">
      <c r="A309" s="2">
        <v>2</v>
      </c>
      <c r="B309" s="2">
        <v>30.5</v>
      </c>
      <c r="C309" s="2">
        <v>68</v>
      </c>
      <c r="D309" s="2">
        <v>2528</v>
      </c>
      <c r="E309" s="2">
        <v>-5532</v>
      </c>
      <c r="F309" s="2">
        <v>13864</v>
      </c>
      <c r="G309" s="2">
        <v>-202</v>
      </c>
      <c r="H309" s="2">
        <v>315</v>
      </c>
      <c r="I309" s="2">
        <v>-284</v>
      </c>
      <c r="J309">
        <v>1</v>
      </c>
    </row>
    <row r="310" spans="1:10" x14ac:dyDescent="0.35">
      <c r="A310" s="2">
        <v>2</v>
      </c>
      <c r="B310" s="2">
        <v>30.5</v>
      </c>
      <c r="C310" s="2">
        <v>68</v>
      </c>
      <c r="D310" s="2">
        <v>2596</v>
      </c>
      <c r="E310" s="2">
        <v>-5532</v>
      </c>
      <c r="F310" s="2">
        <v>13604</v>
      </c>
      <c r="G310" s="2">
        <v>-202</v>
      </c>
      <c r="H310" s="2">
        <v>398</v>
      </c>
      <c r="I310" s="2">
        <v>-238</v>
      </c>
      <c r="J310">
        <v>1</v>
      </c>
    </row>
    <row r="311" spans="1:10" x14ac:dyDescent="0.35">
      <c r="A311" s="2">
        <v>2</v>
      </c>
      <c r="B311" s="2">
        <v>30.5</v>
      </c>
      <c r="C311" s="2">
        <v>68</v>
      </c>
      <c r="D311" s="2">
        <v>2524</v>
      </c>
      <c r="E311" s="2">
        <v>-5572</v>
      </c>
      <c r="F311" s="2">
        <v>13688</v>
      </c>
      <c r="G311" s="2">
        <v>-210</v>
      </c>
      <c r="H311" s="2">
        <v>294</v>
      </c>
      <c r="I311" s="2">
        <v>-237</v>
      </c>
      <c r="J311">
        <v>1</v>
      </c>
    </row>
    <row r="312" spans="1:10" x14ac:dyDescent="0.35">
      <c r="A312" s="2">
        <v>2</v>
      </c>
      <c r="B312" s="2">
        <v>30.5</v>
      </c>
      <c r="C312" s="2">
        <v>68</v>
      </c>
      <c r="D312" s="2">
        <v>2576</v>
      </c>
      <c r="E312" s="2">
        <v>-5648</v>
      </c>
      <c r="F312" s="2">
        <v>13616</v>
      </c>
      <c r="G312" s="2">
        <v>-214</v>
      </c>
      <c r="H312" s="2">
        <v>207</v>
      </c>
      <c r="I312" s="2">
        <v>-238</v>
      </c>
      <c r="J312">
        <v>1</v>
      </c>
    </row>
    <row r="313" spans="1:10" x14ac:dyDescent="0.35">
      <c r="A313" s="2">
        <v>2</v>
      </c>
      <c r="B313" s="2">
        <v>30.5</v>
      </c>
      <c r="C313" s="2">
        <v>68</v>
      </c>
      <c r="D313" s="2">
        <v>2636</v>
      </c>
      <c r="E313" s="2">
        <v>-5588</v>
      </c>
      <c r="F313" s="2">
        <v>13988</v>
      </c>
      <c r="G313" s="2">
        <v>-189</v>
      </c>
      <c r="H313" s="2">
        <v>279</v>
      </c>
      <c r="I313" s="2">
        <v>-250</v>
      </c>
      <c r="J313">
        <v>1</v>
      </c>
    </row>
    <row r="314" spans="1:10" x14ac:dyDescent="0.35">
      <c r="A314" s="2">
        <v>2</v>
      </c>
      <c r="B314" s="2">
        <v>30.3</v>
      </c>
      <c r="C314" s="2">
        <v>68</v>
      </c>
      <c r="D314" s="2">
        <v>2764</v>
      </c>
      <c r="E314" s="2">
        <v>-5564</v>
      </c>
      <c r="F314" s="2">
        <v>13864</v>
      </c>
      <c r="G314" s="2">
        <v>-247</v>
      </c>
      <c r="H314" s="2">
        <v>322</v>
      </c>
      <c r="I314" s="2">
        <v>-247</v>
      </c>
      <c r="J314">
        <v>1</v>
      </c>
    </row>
    <row r="315" spans="1:10" x14ac:dyDescent="0.35">
      <c r="A315" s="2">
        <v>2</v>
      </c>
      <c r="B315" s="2">
        <v>30.5</v>
      </c>
      <c r="C315" s="2">
        <v>68</v>
      </c>
      <c r="D315" s="2">
        <v>2436</v>
      </c>
      <c r="E315" s="2">
        <v>-5624</v>
      </c>
      <c r="F315" s="2">
        <v>13744</v>
      </c>
      <c r="G315" s="2">
        <v>-217</v>
      </c>
      <c r="H315" s="2">
        <v>362</v>
      </c>
      <c r="I315" s="2">
        <v>-227</v>
      </c>
      <c r="J315">
        <v>1</v>
      </c>
    </row>
    <row r="316" spans="1:10" x14ac:dyDescent="0.35">
      <c r="A316" s="2">
        <v>2</v>
      </c>
      <c r="B316" s="2">
        <v>30.4</v>
      </c>
      <c r="C316" s="2">
        <v>68</v>
      </c>
      <c r="D316" s="2">
        <v>2440</v>
      </c>
      <c r="E316" s="2">
        <v>-5692</v>
      </c>
      <c r="F316" s="2">
        <v>13680</v>
      </c>
      <c r="G316" s="2">
        <v>-269</v>
      </c>
      <c r="H316" s="2">
        <v>893</v>
      </c>
      <c r="I316" s="2">
        <v>-236</v>
      </c>
      <c r="J316">
        <v>1</v>
      </c>
    </row>
    <row r="317" spans="1:10" x14ac:dyDescent="0.35">
      <c r="A317" s="2">
        <v>2</v>
      </c>
      <c r="B317" s="2">
        <v>30.4</v>
      </c>
      <c r="C317" s="2">
        <v>69</v>
      </c>
      <c r="D317" s="2">
        <v>2612</v>
      </c>
      <c r="E317" s="2">
        <v>-5752</v>
      </c>
      <c r="F317" s="2">
        <v>13692</v>
      </c>
      <c r="G317" s="2">
        <v>-306</v>
      </c>
      <c r="H317" s="2">
        <v>233</v>
      </c>
      <c r="I317" s="2">
        <v>-280</v>
      </c>
      <c r="J317">
        <v>1</v>
      </c>
    </row>
    <row r="318" spans="1:10" x14ac:dyDescent="0.35">
      <c r="A318" s="2">
        <v>2</v>
      </c>
      <c r="B318" s="2">
        <v>30.5</v>
      </c>
      <c r="C318" s="2">
        <v>69</v>
      </c>
      <c r="D318" s="2">
        <v>2592</v>
      </c>
      <c r="E318" s="2">
        <v>-5532</v>
      </c>
      <c r="F318" s="2">
        <v>13632</v>
      </c>
      <c r="G318" s="2">
        <v>-311</v>
      </c>
      <c r="H318" s="2">
        <v>383</v>
      </c>
      <c r="I318" s="2">
        <v>-240</v>
      </c>
      <c r="J318">
        <v>1</v>
      </c>
    </row>
    <row r="319" spans="1:10" x14ac:dyDescent="0.35">
      <c r="A319" s="2">
        <v>2</v>
      </c>
      <c r="B319" s="2">
        <v>30.3</v>
      </c>
      <c r="C319" s="2">
        <v>69</v>
      </c>
      <c r="D319" s="2">
        <v>2556</v>
      </c>
      <c r="E319" s="2">
        <v>-5748</v>
      </c>
      <c r="F319" s="2">
        <v>13676</v>
      </c>
      <c r="G319" s="2">
        <v>-209</v>
      </c>
      <c r="H319" s="2">
        <v>308</v>
      </c>
      <c r="I319" s="2">
        <v>-306</v>
      </c>
      <c r="J319">
        <v>1</v>
      </c>
    </row>
    <row r="320" spans="1:10" x14ac:dyDescent="0.35">
      <c r="A320" s="2">
        <v>2</v>
      </c>
      <c r="B320" s="2">
        <v>30.3</v>
      </c>
      <c r="C320" s="2">
        <v>69</v>
      </c>
      <c r="D320" s="2">
        <v>2540</v>
      </c>
      <c r="E320" s="2">
        <v>-5600</v>
      </c>
      <c r="F320" s="2">
        <v>13756</v>
      </c>
      <c r="G320" s="2">
        <v>-202</v>
      </c>
      <c r="H320" s="2">
        <v>477</v>
      </c>
      <c r="I320" s="2">
        <v>-274</v>
      </c>
      <c r="J320">
        <v>1</v>
      </c>
    </row>
    <row r="321" spans="1:10" x14ac:dyDescent="0.35">
      <c r="A321" s="2">
        <v>2</v>
      </c>
      <c r="B321" s="2">
        <v>30.5</v>
      </c>
      <c r="C321" s="2">
        <v>68</v>
      </c>
      <c r="D321" s="2">
        <v>2548</v>
      </c>
      <c r="E321" s="2">
        <v>-5544</v>
      </c>
      <c r="F321" s="2">
        <v>13728</v>
      </c>
      <c r="G321" s="2">
        <v>-231</v>
      </c>
      <c r="H321" s="2">
        <v>293</v>
      </c>
      <c r="I321" s="2">
        <v>-226</v>
      </c>
      <c r="J321">
        <v>1</v>
      </c>
    </row>
    <row r="322" spans="1:10" x14ac:dyDescent="0.35">
      <c r="A322" s="2">
        <v>2</v>
      </c>
      <c r="B322" s="2">
        <v>30.3</v>
      </c>
      <c r="C322" s="2">
        <v>68</v>
      </c>
      <c r="D322" s="2">
        <v>2596</v>
      </c>
      <c r="E322" s="2">
        <v>-5552</v>
      </c>
      <c r="F322" s="2">
        <v>13716</v>
      </c>
      <c r="G322" s="2">
        <v>-338</v>
      </c>
      <c r="H322" s="2">
        <v>464</v>
      </c>
      <c r="I322" s="2">
        <v>-254</v>
      </c>
      <c r="J322">
        <v>1</v>
      </c>
    </row>
    <row r="323" spans="1:10" x14ac:dyDescent="0.35">
      <c r="A323" s="2">
        <v>2</v>
      </c>
      <c r="B323" s="2">
        <v>30.5</v>
      </c>
      <c r="C323" s="2">
        <v>68</v>
      </c>
      <c r="D323" s="2">
        <v>2500</v>
      </c>
      <c r="E323" s="2">
        <v>-5576</v>
      </c>
      <c r="F323" s="2">
        <v>13720</v>
      </c>
      <c r="G323" s="2">
        <v>-208</v>
      </c>
      <c r="H323" s="2">
        <v>290</v>
      </c>
      <c r="I323" s="2">
        <v>-237</v>
      </c>
      <c r="J323">
        <v>1</v>
      </c>
    </row>
    <row r="324" spans="1:10" x14ac:dyDescent="0.35">
      <c r="A324" s="2">
        <v>2</v>
      </c>
      <c r="B324" s="2">
        <v>30.5</v>
      </c>
      <c r="C324" s="2">
        <v>68</v>
      </c>
      <c r="D324" s="2">
        <v>2600</v>
      </c>
      <c r="E324" s="2">
        <v>-5564</v>
      </c>
      <c r="F324" s="2">
        <v>13696</v>
      </c>
      <c r="G324" s="2">
        <v>-204</v>
      </c>
      <c r="H324" s="2">
        <v>273</v>
      </c>
      <c r="I324" s="2">
        <v>-232</v>
      </c>
      <c r="J324">
        <v>1</v>
      </c>
    </row>
    <row r="325" spans="1:10" x14ac:dyDescent="0.35">
      <c r="A325" s="2">
        <v>2</v>
      </c>
      <c r="B325" s="2">
        <v>30.5</v>
      </c>
      <c r="C325" s="2">
        <v>68</v>
      </c>
      <c r="D325" s="2">
        <v>2436</v>
      </c>
      <c r="E325" s="2">
        <v>-5608</v>
      </c>
      <c r="F325" s="2">
        <v>13664</v>
      </c>
      <c r="G325" s="2">
        <v>-278</v>
      </c>
      <c r="H325" s="2">
        <v>370</v>
      </c>
      <c r="I325" s="2">
        <v>-300</v>
      </c>
      <c r="J325">
        <v>1</v>
      </c>
    </row>
    <row r="326" spans="1:10" x14ac:dyDescent="0.35">
      <c r="A326" s="2">
        <v>2</v>
      </c>
      <c r="B326" s="2">
        <v>30.4</v>
      </c>
      <c r="C326" s="2">
        <v>68</v>
      </c>
      <c r="D326" s="2">
        <v>2424</v>
      </c>
      <c r="E326" s="2">
        <v>-5564</v>
      </c>
      <c r="F326" s="2">
        <v>13660</v>
      </c>
      <c r="G326" s="2">
        <v>-238</v>
      </c>
      <c r="H326" s="2">
        <v>354</v>
      </c>
      <c r="I326" s="2">
        <v>-280</v>
      </c>
      <c r="J326">
        <v>1</v>
      </c>
    </row>
    <row r="327" spans="1:10" x14ac:dyDescent="0.35">
      <c r="A327" s="2">
        <v>2</v>
      </c>
      <c r="B327" s="2">
        <v>30.4</v>
      </c>
      <c r="C327" s="2">
        <v>68</v>
      </c>
      <c r="D327" s="2">
        <v>2592</v>
      </c>
      <c r="E327" s="2">
        <v>-5592</v>
      </c>
      <c r="F327" s="2">
        <v>13688</v>
      </c>
      <c r="G327" s="2">
        <v>-249</v>
      </c>
      <c r="H327" s="2">
        <v>377</v>
      </c>
      <c r="I327" s="2">
        <v>-263</v>
      </c>
      <c r="J327">
        <v>1</v>
      </c>
    </row>
    <row r="328" spans="1:10" x14ac:dyDescent="0.35">
      <c r="A328" s="2">
        <v>2</v>
      </c>
      <c r="B328" s="2">
        <v>30.5</v>
      </c>
      <c r="C328" s="2">
        <v>68</v>
      </c>
      <c r="D328" s="2">
        <v>2536</v>
      </c>
      <c r="E328" s="2">
        <v>-5556</v>
      </c>
      <c r="F328" s="2">
        <v>13644</v>
      </c>
      <c r="G328" s="2">
        <v>-214</v>
      </c>
      <c r="H328" s="2">
        <v>326</v>
      </c>
      <c r="I328" s="2">
        <v>-248</v>
      </c>
      <c r="J328">
        <v>1</v>
      </c>
    </row>
    <row r="329" spans="1:10" x14ac:dyDescent="0.35">
      <c r="A329" s="2">
        <v>2</v>
      </c>
      <c r="B329" s="2">
        <v>30.5</v>
      </c>
      <c r="C329" s="2">
        <v>68</v>
      </c>
      <c r="D329" s="2">
        <v>2592</v>
      </c>
      <c r="E329" s="2">
        <v>-5524</v>
      </c>
      <c r="F329" s="2">
        <v>13780</v>
      </c>
      <c r="G329" s="2">
        <v>-238</v>
      </c>
      <c r="H329" s="2">
        <v>280</v>
      </c>
      <c r="I329" s="2">
        <v>-272</v>
      </c>
      <c r="J329">
        <v>1</v>
      </c>
    </row>
    <row r="330" spans="1:10" x14ac:dyDescent="0.35">
      <c r="A330" s="2">
        <v>2</v>
      </c>
      <c r="B330" s="2">
        <v>30.5</v>
      </c>
      <c r="C330" s="2">
        <v>68</v>
      </c>
      <c r="D330" s="2">
        <v>2492</v>
      </c>
      <c r="E330" s="2">
        <v>-5612</v>
      </c>
      <c r="F330" s="2">
        <v>13704</v>
      </c>
      <c r="G330" s="2">
        <v>-208</v>
      </c>
      <c r="H330" s="2">
        <v>252</v>
      </c>
      <c r="I330" s="2">
        <v>-235</v>
      </c>
      <c r="J330">
        <v>1</v>
      </c>
    </row>
    <row r="331" spans="1:10" x14ac:dyDescent="0.35">
      <c r="A331" s="2">
        <v>2</v>
      </c>
      <c r="B331" s="2">
        <v>30.5</v>
      </c>
      <c r="C331" s="2">
        <v>68</v>
      </c>
      <c r="D331" s="2">
        <v>2584</v>
      </c>
      <c r="E331" s="2">
        <v>-5620</v>
      </c>
      <c r="F331" s="2">
        <v>13504</v>
      </c>
      <c r="G331" s="2">
        <v>-197</v>
      </c>
      <c r="H331" s="2">
        <v>292</v>
      </c>
      <c r="I331" s="2">
        <v>-217</v>
      </c>
      <c r="J331">
        <v>1</v>
      </c>
    </row>
    <row r="332" spans="1:10" x14ac:dyDescent="0.35">
      <c r="A332" s="2">
        <v>2</v>
      </c>
      <c r="B332" s="2">
        <v>30.5</v>
      </c>
      <c r="C332" s="2">
        <v>68</v>
      </c>
      <c r="D332" s="2">
        <v>2496</v>
      </c>
      <c r="E332" s="2">
        <v>-5592</v>
      </c>
      <c r="F332" s="2">
        <v>13716</v>
      </c>
      <c r="G332" s="2">
        <v>-210</v>
      </c>
      <c r="H332" s="2">
        <v>279</v>
      </c>
      <c r="I332" s="2">
        <v>-240</v>
      </c>
      <c r="J332">
        <v>1</v>
      </c>
    </row>
    <row r="333" spans="1:10" x14ac:dyDescent="0.35">
      <c r="A333" s="2">
        <v>2</v>
      </c>
      <c r="B333" s="2">
        <v>30.5</v>
      </c>
      <c r="C333" s="2">
        <v>68</v>
      </c>
      <c r="D333" s="2">
        <v>2424</v>
      </c>
      <c r="E333" s="2">
        <v>-5612</v>
      </c>
      <c r="F333" s="2">
        <v>13800</v>
      </c>
      <c r="G333" s="2">
        <v>-207</v>
      </c>
      <c r="H333" s="2">
        <v>298</v>
      </c>
      <c r="I333" s="2">
        <v>-258</v>
      </c>
      <c r="J333">
        <v>1</v>
      </c>
    </row>
    <row r="334" spans="1:10" x14ac:dyDescent="0.35">
      <c r="A334" s="2">
        <v>2</v>
      </c>
      <c r="B334" s="2">
        <v>30.5</v>
      </c>
      <c r="C334" s="2">
        <v>68</v>
      </c>
      <c r="D334" s="2">
        <v>2512</v>
      </c>
      <c r="E334" s="2">
        <v>-5588</v>
      </c>
      <c r="F334" s="2">
        <v>13868</v>
      </c>
      <c r="G334" s="2">
        <v>-227</v>
      </c>
      <c r="H334" s="2">
        <v>271</v>
      </c>
      <c r="I334" s="2">
        <v>-402</v>
      </c>
      <c r="J334">
        <v>1</v>
      </c>
    </row>
    <row r="335" spans="1:10" x14ac:dyDescent="0.35">
      <c r="A335" s="2">
        <v>2</v>
      </c>
      <c r="B335" s="2">
        <v>30.5</v>
      </c>
      <c r="C335" s="2">
        <v>68</v>
      </c>
      <c r="D335" s="2">
        <v>2428</v>
      </c>
      <c r="E335" s="2">
        <v>-5528</v>
      </c>
      <c r="F335" s="2">
        <v>13700</v>
      </c>
      <c r="G335" s="2">
        <v>-198</v>
      </c>
      <c r="H335" s="2">
        <v>303</v>
      </c>
      <c r="I335" s="2">
        <v>-305</v>
      </c>
      <c r="J335">
        <v>1</v>
      </c>
    </row>
    <row r="336" spans="1:10" x14ac:dyDescent="0.35">
      <c r="A336" s="2">
        <v>2</v>
      </c>
      <c r="B336" s="2">
        <v>30.5</v>
      </c>
      <c r="C336" s="2">
        <v>68</v>
      </c>
      <c r="D336" s="2">
        <v>2560</v>
      </c>
      <c r="E336" s="2">
        <v>-5532</v>
      </c>
      <c r="F336" s="2">
        <v>13648</v>
      </c>
      <c r="G336" s="2">
        <v>-212</v>
      </c>
      <c r="H336" s="2">
        <v>287</v>
      </c>
      <c r="I336" s="2">
        <v>-211</v>
      </c>
      <c r="J336">
        <v>1</v>
      </c>
    </row>
    <row r="337" spans="1:10" x14ac:dyDescent="0.35">
      <c r="A337" s="2">
        <v>2</v>
      </c>
      <c r="B337" s="2">
        <v>30.5</v>
      </c>
      <c r="C337" s="2">
        <v>68</v>
      </c>
      <c r="D337" s="2">
        <v>2536</v>
      </c>
      <c r="E337" s="2">
        <v>-5608</v>
      </c>
      <c r="F337" s="2">
        <v>13808</v>
      </c>
      <c r="G337" s="2">
        <v>-218</v>
      </c>
      <c r="H337" s="2">
        <v>351</v>
      </c>
      <c r="I337" s="2">
        <v>-260</v>
      </c>
      <c r="J337">
        <v>1</v>
      </c>
    </row>
    <row r="338" spans="1:10" x14ac:dyDescent="0.35">
      <c r="A338" s="2">
        <v>2</v>
      </c>
      <c r="B338" s="2">
        <v>30.5</v>
      </c>
      <c r="C338" s="2">
        <v>68</v>
      </c>
      <c r="D338" s="2">
        <v>2440</v>
      </c>
      <c r="E338" s="2">
        <v>-5640</v>
      </c>
      <c r="F338" s="2">
        <v>13856</v>
      </c>
      <c r="G338" s="2">
        <v>-236</v>
      </c>
      <c r="H338" s="2">
        <v>325</v>
      </c>
      <c r="I338" s="2">
        <v>-243</v>
      </c>
      <c r="J338">
        <v>1</v>
      </c>
    </row>
    <row r="339" spans="1:10" x14ac:dyDescent="0.35">
      <c r="A339" s="2">
        <v>2</v>
      </c>
      <c r="B339" s="2">
        <v>30.5</v>
      </c>
      <c r="C339" s="2">
        <v>68</v>
      </c>
      <c r="D339" s="2">
        <v>2680</v>
      </c>
      <c r="E339" s="2">
        <v>-6124</v>
      </c>
      <c r="F339" s="2">
        <v>13744</v>
      </c>
      <c r="G339" s="2">
        <v>-251</v>
      </c>
      <c r="H339" s="2">
        <v>336</v>
      </c>
      <c r="I339" s="2">
        <v>527</v>
      </c>
      <c r="J339">
        <v>1</v>
      </c>
    </row>
    <row r="340" spans="1:10" x14ac:dyDescent="0.35">
      <c r="A340" s="2">
        <v>2</v>
      </c>
      <c r="B340" s="2">
        <v>30.5</v>
      </c>
      <c r="C340" s="2">
        <v>68</v>
      </c>
      <c r="D340" s="2">
        <v>2484</v>
      </c>
      <c r="E340" s="2">
        <v>-5572</v>
      </c>
      <c r="F340" s="2">
        <v>13664</v>
      </c>
      <c r="G340" s="2">
        <v>-224</v>
      </c>
      <c r="H340" s="2">
        <v>396</v>
      </c>
      <c r="I340" s="2">
        <v>-278</v>
      </c>
      <c r="J340">
        <v>1</v>
      </c>
    </row>
    <row r="341" spans="1:10" x14ac:dyDescent="0.35">
      <c r="A341" s="2">
        <v>2</v>
      </c>
      <c r="B341" s="2">
        <v>30.5</v>
      </c>
      <c r="C341" s="2">
        <v>68</v>
      </c>
      <c r="D341" s="2">
        <v>2520</v>
      </c>
      <c r="E341" s="2">
        <v>-5604</v>
      </c>
      <c r="F341" s="2">
        <v>13672</v>
      </c>
      <c r="G341" s="2">
        <v>-205</v>
      </c>
      <c r="H341" s="2">
        <v>630</v>
      </c>
      <c r="I341" s="2">
        <v>-238</v>
      </c>
      <c r="J341">
        <v>1</v>
      </c>
    </row>
    <row r="342" spans="1:10" x14ac:dyDescent="0.35">
      <c r="A342" s="2">
        <v>2</v>
      </c>
      <c r="B342" s="2">
        <v>30.5</v>
      </c>
      <c r="C342" s="2">
        <v>68</v>
      </c>
      <c r="D342" s="2">
        <v>2520</v>
      </c>
      <c r="E342" s="2">
        <v>-5604</v>
      </c>
      <c r="F342" s="2">
        <v>13632</v>
      </c>
      <c r="G342" s="2">
        <v>-246</v>
      </c>
      <c r="H342" s="2">
        <v>313</v>
      </c>
      <c r="I342" s="2">
        <v>-281</v>
      </c>
      <c r="J342">
        <v>1</v>
      </c>
    </row>
    <row r="343" spans="1:10" x14ac:dyDescent="0.35">
      <c r="A343" s="2">
        <v>2</v>
      </c>
      <c r="B343" s="2">
        <v>30.5</v>
      </c>
      <c r="C343" s="2">
        <v>68</v>
      </c>
      <c r="D343" s="2">
        <v>2512</v>
      </c>
      <c r="E343" s="2">
        <v>-5572</v>
      </c>
      <c r="F343" s="2">
        <v>13788</v>
      </c>
      <c r="G343" s="2">
        <v>-221</v>
      </c>
      <c r="H343" s="2">
        <v>695</v>
      </c>
      <c r="I343" s="2">
        <v>-258</v>
      </c>
      <c r="J343">
        <v>1</v>
      </c>
    </row>
    <row r="344" spans="1:10" x14ac:dyDescent="0.35">
      <c r="A344" s="2">
        <v>2</v>
      </c>
      <c r="B344" s="2">
        <v>30.5</v>
      </c>
      <c r="C344" s="2">
        <v>68</v>
      </c>
      <c r="D344" s="2">
        <v>2576</v>
      </c>
      <c r="E344" s="2">
        <v>-5584</v>
      </c>
      <c r="F344" s="2">
        <v>13728</v>
      </c>
      <c r="G344" s="2">
        <v>-201</v>
      </c>
      <c r="H344" s="2">
        <v>275</v>
      </c>
      <c r="I344" s="2">
        <v>-297</v>
      </c>
      <c r="J344">
        <v>1</v>
      </c>
    </row>
    <row r="345" spans="1:10" x14ac:dyDescent="0.35">
      <c r="A345" s="2">
        <v>2</v>
      </c>
      <c r="B345" s="2">
        <v>30.5</v>
      </c>
      <c r="C345" s="2">
        <v>68</v>
      </c>
      <c r="D345" s="2">
        <v>2524</v>
      </c>
      <c r="E345" s="2">
        <v>-5516</v>
      </c>
      <c r="F345" s="2">
        <v>13720</v>
      </c>
      <c r="G345" s="2">
        <v>-187</v>
      </c>
      <c r="H345" s="2">
        <v>298</v>
      </c>
      <c r="I345" s="2">
        <v>-249</v>
      </c>
      <c r="J345">
        <v>1</v>
      </c>
    </row>
    <row r="346" spans="1:10" x14ac:dyDescent="0.35">
      <c r="A346" s="2">
        <v>2</v>
      </c>
      <c r="B346" s="2">
        <v>30.5</v>
      </c>
      <c r="C346" s="2">
        <v>68</v>
      </c>
      <c r="D346" s="2">
        <v>2524</v>
      </c>
      <c r="E346" s="2">
        <v>-5616</v>
      </c>
      <c r="F346" s="2">
        <v>13744</v>
      </c>
      <c r="G346" s="2">
        <v>-197</v>
      </c>
      <c r="H346" s="2">
        <v>278</v>
      </c>
      <c r="I346" s="2">
        <v>-264</v>
      </c>
      <c r="J346">
        <v>1</v>
      </c>
    </row>
    <row r="347" spans="1:10" x14ac:dyDescent="0.35">
      <c r="A347" s="2">
        <v>2</v>
      </c>
      <c r="B347" s="2">
        <v>30.5</v>
      </c>
      <c r="C347" s="2">
        <v>68</v>
      </c>
      <c r="D347" s="2">
        <v>2568</v>
      </c>
      <c r="E347" s="2">
        <v>-5592</v>
      </c>
      <c r="F347" s="2">
        <v>13868</v>
      </c>
      <c r="G347" s="2">
        <v>-235</v>
      </c>
      <c r="H347" s="2">
        <v>294</v>
      </c>
      <c r="I347" s="2">
        <v>-241</v>
      </c>
      <c r="J347">
        <v>1</v>
      </c>
    </row>
    <row r="348" spans="1:10" x14ac:dyDescent="0.35">
      <c r="A348" s="2">
        <v>2</v>
      </c>
      <c r="B348" s="2">
        <v>30.5</v>
      </c>
      <c r="C348" s="2">
        <v>68</v>
      </c>
      <c r="D348" s="2">
        <v>2528</v>
      </c>
      <c r="E348" s="2">
        <v>-5572</v>
      </c>
      <c r="F348" s="2">
        <v>13756</v>
      </c>
      <c r="G348" s="2">
        <v>-195</v>
      </c>
      <c r="H348" s="2">
        <v>325</v>
      </c>
      <c r="I348" s="2">
        <v>-250</v>
      </c>
      <c r="J348">
        <v>1</v>
      </c>
    </row>
    <row r="349" spans="1:10" x14ac:dyDescent="0.35">
      <c r="A349" s="2">
        <v>2</v>
      </c>
      <c r="B349" s="2">
        <v>30.5</v>
      </c>
      <c r="C349" s="2">
        <v>68</v>
      </c>
      <c r="D349" s="2">
        <v>2580</v>
      </c>
      <c r="E349" s="2">
        <v>-5560</v>
      </c>
      <c r="F349" s="2">
        <v>13832</v>
      </c>
      <c r="G349" s="2">
        <v>-200</v>
      </c>
      <c r="H349" s="2">
        <v>678</v>
      </c>
      <c r="I349" s="2">
        <v>-283</v>
      </c>
      <c r="J349">
        <v>1</v>
      </c>
    </row>
    <row r="350" spans="1:10" x14ac:dyDescent="0.35">
      <c r="A350" s="2">
        <v>2</v>
      </c>
      <c r="B350" s="2">
        <v>30.6</v>
      </c>
      <c r="C350" s="2">
        <v>68</v>
      </c>
      <c r="D350" s="2">
        <v>2728</v>
      </c>
      <c r="E350" s="2">
        <v>-5608</v>
      </c>
      <c r="F350" s="2">
        <v>13760</v>
      </c>
      <c r="G350" s="2">
        <v>-260</v>
      </c>
      <c r="H350" s="2">
        <v>488</v>
      </c>
      <c r="I350" s="2">
        <v>-260</v>
      </c>
      <c r="J350">
        <v>1</v>
      </c>
    </row>
    <row r="351" spans="1:10" x14ac:dyDescent="0.35">
      <c r="A351" s="2">
        <v>2</v>
      </c>
      <c r="B351" s="2">
        <v>30.5</v>
      </c>
      <c r="C351" s="2">
        <v>69</v>
      </c>
      <c r="D351" s="2">
        <v>2540</v>
      </c>
      <c r="E351" s="2">
        <v>-5720</v>
      </c>
      <c r="F351" s="2">
        <v>13768</v>
      </c>
      <c r="G351" s="2">
        <v>-377</v>
      </c>
      <c r="H351" s="2">
        <v>338</v>
      </c>
      <c r="I351" s="2">
        <v>-557</v>
      </c>
      <c r="J351">
        <v>1</v>
      </c>
    </row>
    <row r="352" spans="1:10" x14ac:dyDescent="0.35">
      <c r="A352" s="2">
        <v>2</v>
      </c>
      <c r="B352" s="2">
        <v>30.5</v>
      </c>
      <c r="C352" s="2">
        <v>70</v>
      </c>
      <c r="D352" s="2">
        <v>2480</v>
      </c>
      <c r="E352" s="2">
        <v>-5636</v>
      </c>
      <c r="F352" s="2">
        <v>13848</v>
      </c>
      <c r="G352" s="2">
        <v>-165</v>
      </c>
      <c r="H352" s="2">
        <v>179</v>
      </c>
      <c r="I352" s="2">
        <v>-307</v>
      </c>
      <c r="J352">
        <v>1</v>
      </c>
    </row>
    <row r="353" spans="1:10" x14ac:dyDescent="0.35">
      <c r="A353" s="2">
        <v>2</v>
      </c>
      <c r="B353" s="2">
        <v>30.5</v>
      </c>
      <c r="C353" s="2">
        <v>70</v>
      </c>
      <c r="D353" s="2">
        <v>2540</v>
      </c>
      <c r="E353" s="2">
        <v>-5580</v>
      </c>
      <c r="F353" s="2">
        <v>13648</v>
      </c>
      <c r="G353" s="2">
        <v>-205</v>
      </c>
      <c r="H353" s="2">
        <v>257</v>
      </c>
      <c r="I353" s="2">
        <v>-284</v>
      </c>
      <c r="J353">
        <v>1</v>
      </c>
    </row>
    <row r="354" spans="1:10" x14ac:dyDescent="0.35">
      <c r="A354" s="2">
        <v>2</v>
      </c>
      <c r="B354" s="2">
        <v>30.5</v>
      </c>
      <c r="C354" s="2">
        <v>70</v>
      </c>
      <c r="D354" s="2">
        <v>2564</v>
      </c>
      <c r="E354" s="2">
        <v>-5556</v>
      </c>
      <c r="F354" s="2">
        <v>13696</v>
      </c>
      <c r="G354" s="2">
        <v>-310</v>
      </c>
      <c r="H354" s="2">
        <v>636</v>
      </c>
      <c r="I354" s="2">
        <v>-243</v>
      </c>
      <c r="J354">
        <v>1</v>
      </c>
    </row>
    <row r="355" spans="1:10" x14ac:dyDescent="0.35">
      <c r="A355" s="2">
        <v>2</v>
      </c>
      <c r="B355" s="2">
        <v>30.5</v>
      </c>
      <c r="C355" s="2">
        <v>71</v>
      </c>
      <c r="D355" s="2">
        <v>2576</v>
      </c>
      <c r="E355" s="2">
        <v>-5640</v>
      </c>
      <c r="F355" s="2">
        <v>13720</v>
      </c>
      <c r="G355" s="2">
        <v>-266</v>
      </c>
      <c r="H355" s="2">
        <v>292</v>
      </c>
      <c r="I355" s="2">
        <v>-245</v>
      </c>
      <c r="J355">
        <v>1</v>
      </c>
    </row>
    <row r="356" spans="1:10" x14ac:dyDescent="0.35">
      <c r="A356" s="2">
        <v>2</v>
      </c>
      <c r="B356" s="2">
        <v>30.6</v>
      </c>
      <c r="C356" s="2">
        <v>70</v>
      </c>
      <c r="D356" s="2">
        <v>2472</v>
      </c>
      <c r="E356" s="2">
        <v>-5620</v>
      </c>
      <c r="F356" s="2">
        <v>13716</v>
      </c>
      <c r="G356" s="2">
        <v>-218</v>
      </c>
      <c r="H356" s="2">
        <v>466</v>
      </c>
      <c r="I356" s="2">
        <v>-230</v>
      </c>
      <c r="J356">
        <v>1</v>
      </c>
    </row>
    <row r="357" spans="1:10" x14ac:dyDescent="0.35">
      <c r="A357" s="2">
        <v>2</v>
      </c>
      <c r="B357" s="2">
        <v>30.6</v>
      </c>
      <c r="C357" s="2">
        <v>71</v>
      </c>
      <c r="D357" s="2">
        <v>2576</v>
      </c>
      <c r="E357" s="2">
        <v>-5556</v>
      </c>
      <c r="F357" s="2">
        <v>13616</v>
      </c>
      <c r="G357" s="2">
        <v>-207</v>
      </c>
      <c r="H357" s="2">
        <v>292</v>
      </c>
      <c r="I357" s="2">
        <v>-240</v>
      </c>
      <c r="J357">
        <v>1</v>
      </c>
    </row>
    <row r="358" spans="1:10" x14ac:dyDescent="0.35">
      <c r="A358" s="2">
        <v>2</v>
      </c>
      <c r="B358" s="2">
        <v>30.5</v>
      </c>
      <c r="C358" s="2">
        <v>71</v>
      </c>
      <c r="D358" s="2">
        <v>2872</v>
      </c>
      <c r="E358" s="2">
        <v>-5584</v>
      </c>
      <c r="F358" s="2">
        <v>13612</v>
      </c>
      <c r="G358" s="2">
        <v>-296</v>
      </c>
      <c r="H358" s="2">
        <v>317</v>
      </c>
      <c r="I358" s="2">
        <v>-243</v>
      </c>
      <c r="J358">
        <v>1</v>
      </c>
    </row>
    <row r="359" spans="1:10" x14ac:dyDescent="0.35">
      <c r="A359" s="2">
        <v>2</v>
      </c>
      <c r="B359" s="2">
        <v>30.5</v>
      </c>
      <c r="C359" s="2">
        <v>71</v>
      </c>
      <c r="D359" s="2">
        <v>2712</v>
      </c>
      <c r="E359" s="2">
        <v>-5552</v>
      </c>
      <c r="F359" s="2">
        <v>13532</v>
      </c>
      <c r="G359" s="2">
        <v>-262</v>
      </c>
      <c r="H359" s="2">
        <v>879</v>
      </c>
      <c r="I359" s="2">
        <v>-249</v>
      </c>
      <c r="J359">
        <v>1</v>
      </c>
    </row>
    <row r="360" spans="1:10" x14ac:dyDescent="0.35">
      <c r="A360" s="2">
        <v>2</v>
      </c>
      <c r="B360" s="2">
        <v>30.5</v>
      </c>
      <c r="C360" s="2">
        <v>71</v>
      </c>
      <c r="D360" s="2">
        <v>2540</v>
      </c>
      <c r="E360" s="2">
        <v>-5744</v>
      </c>
      <c r="F360" s="2">
        <v>13684</v>
      </c>
      <c r="G360" s="2">
        <v>-300</v>
      </c>
      <c r="H360" s="2">
        <v>560</v>
      </c>
      <c r="I360" s="2">
        <v>-311</v>
      </c>
      <c r="J360">
        <v>1</v>
      </c>
    </row>
    <row r="361" spans="1:10" x14ac:dyDescent="0.35">
      <c r="A361" s="2">
        <v>2</v>
      </c>
      <c r="B361" s="2">
        <v>30.5</v>
      </c>
      <c r="C361" s="2">
        <v>71</v>
      </c>
      <c r="D361" s="2">
        <v>2576</v>
      </c>
      <c r="E361" s="2">
        <v>-5764</v>
      </c>
      <c r="F361" s="2">
        <v>13764</v>
      </c>
      <c r="G361" s="2">
        <v>-260</v>
      </c>
      <c r="H361" s="2">
        <v>317</v>
      </c>
      <c r="I361" s="2">
        <v>-283</v>
      </c>
      <c r="J361">
        <v>1</v>
      </c>
    </row>
    <row r="362" spans="1:10" x14ac:dyDescent="0.35">
      <c r="A362" s="2">
        <v>2</v>
      </c>
      <c r="B362" s="2">
        <v>30.5</v>
      </c>
      <c r="C362" s="2">
        <v>70</v>
      </c>
      <c r="D362" s="2">
        <v>2412</v>
      </c>
      <c r="E362" s="2">
        <v>-5628</v>
      </c>
      <c r="F362" s="2">
        <v>13648</v>
      </c>
      <c r="G362" s="2">
        <v>-201</v>
      </c>
      <c r="H362" s="2">
        <v>318</v>
      </c>
      <c r="I362" s="2">
        <v>-260</v>
      </c>
      <c r="J362">
        <v>1</v>
      </c>
    </row>
    <row r="363" spans="1:10" x14ac:dyDescent="0.35">
      <c r="A363" s="2">
        <v>2</v>
      </c>
      <c r="B363" s="2">
        <v>30.6</v>
      </c>
      <c r="C363" s="2">
        <v>71</v>
      </c>
      <c r="D363" s="2">
        <v>2476</v>
      </c>
      <c r="E363" s="2">
        <v>-5644</v>
      </c>
      <c r="F363" s="2">
        <v>13680</v>
      </c>
      <c r="G363" s="2">
        <v>-226</v>
      </c>
      <c r="H363" s="2">
        <v>302</v>
      </c>
      <c r="I363" s="2">
        <v>-263</v>
      </c>
      <c r="J363">
        <v>1</v>
      </c>
    </row>
    <row r="364" spans="1:10" x14ac:dyDescent="0.35">
      <c r="A364" s="2">
        <v>2</v>
      </c>
      <c r="B364" s="2">
        <v>30.6</v>
      </c>
      <c r="C364" s="2">
        <v>70</v>
      </c>
      <c r="D364" s="2">
        <v>2536</v>
      </c>
      <c r="E364" s="2">
        <v>-5592</v>
      </c>
      <c r="F364" s="2">
        <v>13768</v>
      </c>
      <c r="G364" s="2">
        <v>-284</v>
      </c>
      <c r="H364" s="2">
        <v>444</v>
      </c>
      <c r="I364" s="2">
        <v>-283</v>
      </c>
      <c r="J364">
        <v>1</v>
      </c>
    </row>
    <row r="365" spans="1:10" x14ac:dyDescent="0.35">
      <c r="A365" s="2">
        <v>2</v>
      </c>
      <c r="B365" s="2">
        <v>30.6</v>
      </c>
      <c r="C365" s="2">
        <v>70</v>
      </c>
      <c r="D365" s="2">
        <v>2792</v>
      </c>
      <c r="E365" s="2">
        <v>-5680</v>
      </c>
      <c r="F365" s="2">
        <v>13872</v>
      </c>
      <c r="G365" s="2">
        <v>-509</v>
      </c>
      <c r="H365" s="2">
        <v>728</v>
      </c>
      <c r="I365" s="2">
        <v>481</v>
      </c>
      <c r="J365">
        <v>1</v>
      </c>
    </row>
    <row r="366" spans="1:10" x14ac:dyDescent="0.35">
      <c r="A366" s="2">
        <v>2</v>
      </c>
      <c r="B366" s="2">
        <v>30.5</v>
      </c>
      <c r="C366" s="2">
        <v>70</v>
      </c>
      <c r="D366" s="2">
        <v>2696</v>
      </c>
      <c r="E366" s="2">
        <v>-5780</v>
      </c>
      <c r="F366" s="2">
        <v>13828</v>
      </c>
      <c r="G366" s="2">
        <v>-330</v>
      </c>
      <c r="H366" s="2">
        <v>679</v>
      </c>
      <c r="I366" s="2">
        <v>-236</v>
      </c>
      <c r="J366">
        <v>1</v>
      </c>
    </row>
    <row r="367" spans="1:10" x14ac:dyDescent="0.35">
      <c r="A367" s="2">
        <v>2</v>
      </c>
      <c r="B367" s="2">
        <v>30.6</v>
      </c>
      <c r="C367" s="2">
        <v>70</v>
      </c>
      <c r="D367" s="2">
        <v>2528</v>
      </c>
      <c r="E367" s="2">
        <v>-5528</v>
      </c>
      <c r="F367" s="2">
        <v>13648</v>
      </c>
      <c r="G367" s="2">
        <v>-243</v>
      </c>
      <c r="H367" s="2">
        <v>446</v>
      </c>
      <c r="I367" s="2">
        <v>-272</v>
      </c>
      <c r="J367">
        <v>1</v>
      </c>
    </row>
    <row r="368" spans="1:10" x14ac:dyDescent="0.35">
      <c r="A368" s="2">
        <v>2</v>
      </c>
      <c r="B368" s="2">
        <v>30.5</v>
      </c>
      <c r="C368" s="2">
        <v>70</v>
      </c>
      <c r="D368" s="2">
        <v>2496</v>
      </c>
      <c r="E368" s="2">
        <v>-5692</v>
      </c>
      <c r="F368" s="2">
        <v>13712</v>
      </c>
      <c r="G368" s="2">
        <v>-177</v>
      </c>
      <c r="H368" s="2">
        <v>234</v>
      </c>
      <c r="I368" s="2">
        <v>-292</v>
      </c>
      <c r="J368">
        <v>1</v>
      </c>
    </row>
    <row r="369" spans="1:10" x14ac:dyDescent="0.35">
      <c r="A369" s="2">
        <v>2</v>
      </c>
      <c r="B369" s="2">
        <v>30.6</v>
      </c>
      <c r="C369" s="2">
        <v>70</v>
      </c>
      <c r="D369" s="2">
        <v>2524</v>
      </c>
      <c r="E369" s="2">
        <v>-5600</v>
      </c>
      <c r="F369" s="2">
        <v>13744</v>
      </c>
      <c r="G369" s="2">
        <v>-229</v>
      </c>
      <c r="H369" s="2">
        <v>385</v>
      </c>
      <c r="I369" s="2">
        <v>-280</v>
      </c>
      <c r="J369">
        <v>1</v>
      </c>
    </row>
    <row r="370" spans="1:10" x14ac:dyDescent="0.35">
      <c r="A370" s="2">
        <v>2</v>
      </c>
      <c r="B370" s="2">
        <v>30.6</v>
      </c>
      <c r="C370" s="2">
        <v>70</v>
      </c>
      <c r="D370" s="2">
        <v>2660</v>
      </c>
      <c r="E370" s="2">
        <v>-5668</v>
      </c>
      <c r="F370" s="2">
        <v>13744</v>
      </c>
      <c r="G370" s="2">
        <v>-436</v>
      </c>
      <c r="H370" s="2">
        <v>1265</v>
      </c>
      <c r="I370" s="2">
        <v>-291</v>
      </c>
      <c r="J370">
        <v>1</v>
      </c>
    </row>
    <row r="371" spans="1:10" x14ac:dyDescent="0.35">
      <c r="A371" s="2">
        <v>2</v>
      </c>
      <c r="B371" s="2">
        <v>30.7</v>
      </c>
      <c r="C371" s="2">
        <v>71</v>
      </c>
      <c r="D371" s="2">
        <v>2460</v>
      </c>
      <c r="E371" s="2">
        <v>-5636</v>
      </c>
      <c r="F371" s="2">
        <v>13704</v>
      </c>
      <c r="G371" s="2">
        <v>-190</v>
      </c>
      <c r="H371" s="2">
        <v>337</v>
      </c>
      <c r="I371" s="2">
        <v>-255</v>
      </c>
      <c r="J371">
        <v>1</v>
      </c>
    </row>
    <row r="372" spans="1:10" x14ac:dyDescent="0.35">
      <c r="A372" s="2">
        <v>2</v>
      </c>
      <c r="B372" s="2">
        <v>30.5</v>
      </c>
      <c r="C372" s="2">
        <v>70</v>
      </c>
      <c r="D372" s="2">
        <v>2520</v>
      </c>
      <c r="E372" s="2">
        <v>-5692</v>
      </c>
      <c r="F372" s="2">
        <v>13800</v>
      </c>
      <c r="G372" s="2">
        <v>-208</v>
      </c>
      <c r="H372" s="2">
        <v>295</v>
      </c>
      <c r="I372" s="2">
        <v>-249</v>
      </c>
      <c r="J372">
        <v>1</v>
      </c>
    </row>
    <row r="373" spans="1:10" x14ac:dyDescent="0.35">
      <c r="A373" s="2">
        <v>2</v>
      </c>
      <c r="B373" s="2">
        <v>30.5</v>
      </c>
      <c r="C373" s="2">
        <v>71</v>
      </c>
      <c r="D373" s="2">
        <v>2524</v>
      </c>
      <c r="E373" s="2">
        <v>-5668</v>
      </c>
      <c r="F373" s="2">
        <v>13632</v>
      </c>
      <c r="G373" s="2">
        <v>-245</v>
      </c>
      <c r="H373" s="2">
        <v>556</v>
      </c>
      <c r="I373" s="2">
        <v>-256</v>
      </c>
      <c r="J373">
        <v>1</v>
      </c>
    </row>
    <row r="374" spans="1:10" x14ac:dyDescent="0.35">
      <c r="A374" s="2">
        <v>2</v>
      </c>
      <c r="B374" s="2">
        <v>30.6</v>
      </c>
      <c r="C374" s="2">
        <v>71</v>
      </c>
      <c r="D374" s="2">
        <v>2596</v>
      </c>
      <c r="E374" s="2">
        <v>-5612</v>
      </c>
      <c r="F374" s="2">
        <v>13732</v>
      </c>
      <c r="G374" s="2">
        <v>-204</v>
      </c>
      <c r="H374" s="2">
        <v>251</v>
      </c>
      <c r="I374" s="2">
        <v>-341</v>
      </c>
      <c r="J374">
        <v>1</v>
      </c>
    </row>
    <row r="375" spans="1:10" x14ac:dyDescent="0.35">
      <c r="A375" s="2">
        <v>2</v>
      </c>
      <c r="B375" s="2">
        <v>30.6</v>
      </c>
      <c r="C375" s="2">
        <v>71</v>
      </c>
      <c r="D375" s="2">
        <v>2648</v>
      </c>
      <c r="E375" s="2">
        <v>-5688</v>
      </c>
      <c r="F375" s="2">
        <v>13792</v>
      </c>
      <c r="G375" s="2">
        <v>-245</v>
      </c>
      <c r="H375" s="2">
        <v>518</v>
      </c>
      <c r="I375" s="2">
        <v>-257</v>
      </c>
      <c r="J375">
        <v>1</v>
      </c>
    </row>
    <row r="376" spans="1:10" x14ac:dyDescent="0.35">
      <c r="A376" s="2">
        <v>2</v>
      </c>
      <c r="B376" s="2">
        <v>30.6</v>
      </c>
      <c r="C376" s="2">
        <v>71</v>
      </c>
      <c r="D376" s="2">
        <v>2628</v>
      </c>
      <c r="E376" s="2">
        <v>-5692</v>
      </c>
      <c r="F376" s="2">
        <v>13612</v>
      </c>
      <c r="G376" s="2">
        <v>-208</v>
      </c>
      <c r="H376" s="2">
        <v>402</v>
      </c>
      <c r="I376" s="2">
        <v>-218</v>
      </c>
      <c r="J376">
        <v>1</v>
      </c>
    </row>
    <row r="377" spans="1:10" x14ac:dyDescent="0.35">
      <c r="A377" s="2">
        <v>2</v>
      </c>
      <c r="B377" s="2">
        <v>30.7</v>
      </c>
      <c r="C377" s="2">
        <v>70</v>
      </c>
      <c r="D377" s="2">
        <v>2692</v>
      </c>
      <c r="E377" s="2">
        <v>-5740</v>
      </c>
      <c r="F377" s="2">
        <v>14020</v>
      </c>
      <c r="G377" s="2">
        <v>-359</v>
      </c>
      <c r="H377" s="2">
        <v>281</v>
      </c>
      <c r="I377" s="2">
        <v>-282</v>
      </c>
      <c r="J377">
        <v>1</v>
      </c>
    </row>
    <row r="378" spans="1:10" x14ac:dyDescent="0.35">
      <c r="A378" s="2">
        <v>2</v>
      </c>
      <c r="B378" s="2">
        <v>30.6</v>
      </c>
      <c r="C378" s="2">
        <v>70</v>
      </c>
      <c r="D378" s="2">
        <v>2548</v>
      </c>
      <c r="E378" s="2">
        <v>-5684</v>
      </c>
      <c r="F378" s="2">
        <v>13768</v>
      </c>
      <c r="G378" s="2">
        <v>-269</v>
      </c>
      <c r="H378" s="2">
        <v>506</v>
      </c>
      <c r="I378" s="2">
        <v>-275</v>
      </c>
      <c r="J378">
        <v>1</v>
      </c>
    </row>
    <row r="379" spans="1:10" x14ac:dyDescent="0.35">
      <c r="A379" s="2">
        <v>2</v>
      </c>
      <c r="B379" s="2">
        <v>30.6</v>
      </c>
      <c r="C379" s="2">
        <v>69</v>
      </c>
      <c r="D379" s="2">
        <v>2620</v>
      </c>
      <c r="E379" s="2">
        <v>-5556</v>
      </c>
      <c r="F379" s="2">
        <v>13728</v>
      </c>
      <c r="G379" s="2">
        <v>-232</v>
      </c>
      <c r="H379" s="2">
        <v>393</v>
      </c>
      <c r="I379" s="2">
        <v>-342</v>
      </c>
      <c r="J379">
        <v>1</v>
      </c>
    </row>
    <row r="380" spans="1:10" x14ac:dyDescent="0.35">
      <c r="A380" s="2">
        <v>2</v>
      </c>
      <c r="B380" s="2">
        <v>30.6</v>
      </c>
      <c r="C380" s="2">
        <v>69</v>
      </c>
      <c r="D380" s="2">
        <v>2352</v>
      </c>
      <c r="E380" s="2">
        <v>-5640</v>
      </c>
      <c r="F380" s="2">
        <v>13696</v>
      </c>
      <c r="G380" s="2">
        <v>-241</v>
      </c>
      <c r="H380" s="2">
        <v>291</v>
      </c>
      <c r="I380" s="2">
        <v>-231</v>
      </c>
      <c r="J380">
        <v>1</v>
      </c>
    </row>
    <row r="381" spans="1:10" x14ac:dyDescent="0.35">
      <c r="A381" s="2">
        <v>2</v>
      </c>
      <c r="B381" s="2">
        <v>30.5</v>
      </c>
      <c r="C381" s="2">
        <v>69</v>
      </c>
      <c r="D381" s="2">
        <v>2720</v>
      </c>
      <c r="E381" s="2">
        <v>-5676</v>
      </c>
      <c r="F381" s="2">
        <v>14064</v>
      </c>
      <c r="G381" s="2">
        <v>-220</v>
      </c>
      <c r="H381" s="2">
        <v>569</v>
      </c>
      <c r="I381" s="2">
        <v>-333</v>
      </c>
      <c r="J381">
        <v>1</v>
      </c>
    </row>
    <row r="382" spans="1:10" x14ac:dyDescent="0.35">
      <c r="A382" s="2">
        <v>2</v>
      </c>
      <c r="B382" s="2">
        <v>30.6</v>
      </c>
      <c r="C382" s="2">
        <v>69</v>
      </c>
      <c r="D382" s="2">
        <v>2568</v>
      </c>
      <c r="E382" s="2">
        <v>-5556</v>
      </c>
      <c r="F382" s="2">
        <v>13764</v>
      </c>
      <c r="G382" s="2">
        <v>-265</v>
      </c>
      <c r="H382" s="2">
        <v>258</v>
      </c>
      <c r="I382" s="2">
        <v>-327</v>
      </c>
      <c r="J382">
        <v>1</v>
      </c>
    </row>
    <row r="383" spans="1:10" x14ac:dyDescent="0.35">
      <c r="A383" s="2">
        <v>2</v>
      </c>
      <c r="B383" s="2">
        <v>30.7</v>
      </c>
      <c r="C383" s="2">
        <v>69</v>
      </c>
      <c r="D383" s="2">
        <v>2588</v>
      </c>
      <c r="E383" s="2">
        <v>-5604</v>
      </c>
      <c r="F383" s="2">
        <v>13684</v>
      </c>
      <c r="G383" s="2">
        <v>-229</v>
      </c>
      <c r="H383" s="2">
        <v>281</v>
      </c>
      <c r="I383" s="2">
        <v>-320</v>
      </c>
      <c r="J383">
        <v>1</v>
      </c>
    </row>
    <row r="384" spans="1:10" x14ac:dyDescent="0.35">
      <c r="A384" s="2">
        <v>2</v>
      </c>
      <c r="B384" s="2">
        <v>30.6</v>
      </c>
      <c r="C384" s="2">
        <v>69</v>
      </c>
      <c r="D384" s="2">
        <v>2500</v>
      </c>
      <c r="E384" s="2">
        <v>-5580</v>
      </c>
      <c r="F384" s="2">
        <v>13748</v>
      </c>
      <c r="G384" s="2">
        <v>-202</v>
      </c>
      <c r="H384" s="2">
        <v>280</v>
      </c>
      <c r="I384" s="2">
        <v>-243</v>
      </c>
      <c r="J384">
        <v>1</v>
      </c>
    </row>
    <row r="385" spans="1:10" x14ac:dyDescent="0.35">
      <c r="A385" s="2">
        <v>2</v>
      </c>
      <c r="B385" s="2">
        <v>30.5</v>
      </c>
      <c r="C385" s="2">
        <v>69</v>
      </c>
      <c r="D385" s="2">
        <v>2500</v>
      </c>
      <c r="E385" s="2">
        <v>-5684</v>
      </c>
      <c r="F385" s="2">
        <v>14160</v>
      </c>
      <c r="G385" s="2">
        <v>-196</v>
      </c>
      <c r="H385" s="2">
        <v>573</v>
      </c>
      <c r="I385" s="2">
        <v>-443</v>
      </c>
      <c r="J385">
        <v>1</v>
      </c>
    </row>
    <row r="386" spans="1:10" x14ac:dyDescent="0.35">
      <c r="A386" s="2">
        <v>2</v>
      </c>
      <c r="B386" s="2">
        <v>30.6</v>
      </c>
      <c r="C386" s="2">
        <v>69</v>
      </c>
      <c r="D386" s="2">
        <v>2484</v>
      </c>
      <c r="E386" s="2">
        <v>-5604</v>
      </c>
      <c r="F386" s="2">
        <v>14064</v>
      </c>
      <c r="G386" s="2">
        <v>-241</v>
      </c>
      <c r="H386" s="2">
        <v>-374</v>
      </c>
      <c r="I386" s="2">
        <v>-323</v>
      </c>
      <c r="J386">
        <v>1</v>
      </c>
    </row>
    <row r="387" spans="1:10" x14ac:dyDescent="0.35">
      <c r="A387" s="2">
        <v>2</v>
      </c>
      <c r="B387" s="2">
        <v>30.6</v>
      </c>
      <c r="C387" s="2">
        <v>70</v>
      </c>
      <c r="D387" s="2">
        <v>2580</v>
      </c>
      <c r="E387" s="2">
        <v>-5756</v>
      </c>
      <c r="F387" s="2">
        <v>13716</v>
      </c>
      <c r="G387" s="2">
        <v>-300</v>
      </c>
      <c r="H387" s="2">
        <v>-866</v>
      </c>
      <c r="I387" s="2">
        <v>-239</v>
      </c>
      <c r="J387">
        <v>1</v>
      </c>
    </row>
    <row r="388" spans="1:10" x14ac:dyDescent="0.35">
      <c r="A388" s="2">
        <v>2</v>
      </c>
      <c r="B388" s="2">
        <v>30.5</v>
      </c>
      <c r="C388" s="2">
        <v>71</v>
      </c>
      <c r="D388" s="2">
        <v>2496</v>
      </c>
      <c r="E388" s="2">
        <v>-5596</v>
      </c>
      <c r="F388" s="2">
        <v>13564</v>
      </c>
      <c r="G388" s="2">
        <v>-204</v>
      </c>
      <c r="H388" s="2">
        <v>409</v>
      </c>
      <c r="I388" s="2">
        <v>-240</v>
      </c>
      <c r="J388">
        <v>1</v>
      </c>
    </row>
    <row r="389" spans="1:10" x14ac:dyDescent="0.35">
      <c r="A389" s="2">
        <v>2</v>
      </c>
      <c r="B389" s="2">
        <v>30.7</v>
      </c>
      <c r="C389" s="2">
        <v>71</v>
      </c>
      <c r="D389" s="2">
        <v>2528</v>
      </c>
      <c r="E389" s="2">
        <v>-5616</v>
      </c>
      <c r="F389" s="2">
        <v>13712</v>
      </c>
      <c r="G389" s="2">
        <v>-210</v>
      </c>
      <c r="H389" s="2">
        <v>376</v>
      </c>
      <c r="I389" s="2">
        <v>-266</v>
      </c>
      <c r="J389">
        <v>1</v>
      </c>
    </row>
    <row r="390" spans="1:10" x14ac:dyDescent="0.35">
      <c r="A390" s="2">
        <v>2</v>
      </c>
      <c r="B390" s="2">
        <v>30.5</v>
      </c>
      <c r="C390" s="2">
        <v>71</v>
      </c>
      <c r="D390" s="2">
        <v>2608</v>
      </c>
      <c r="E390" s="2">
        <v>-5592</v>
      </c>
      <c r="F390" s="2">
        <v>13660</v>
      </c>
      <c r="G390" s="2">
        <v>-273</v>
      </c>
      <c r="H390" s="2">
        <v>639</v>
      </c>
      <c r="I390" s="2">
        <v>-419</v>
      </c>
      <c r="J390">
        <v>1</v>
      </c>
    </row>
    <row r="391" spans="1:10" x14ac:dyDescent="0.35">
      <c r="A391" s="2">
        <v>2</v>
      </c>
      <c r="B391" s="2">
        <v>30.6</v>
      </c>
      <c r="C391" s="2">
        <v>71</v>
      </c>
      <c r="D391" s="2">
        <v>2548</v>
      </c>
      <c r="E391" s="2">
        <v>-5588</v>
      </c>
      <c r="F391" s="2">
        <v>13720</v>
      </c>
      <c r="G391" s="2">
        <v>-325</v>
      </c>
      <c r="H391" s="2">
        <v>338</v>
      </c>
      <c r="I391" s="2">
        <v>-259</v>
      </c>
      <c r="J391">
        <v>1</v>
      </c>
    </row>
    <row r="392" spans="1:10" x14ac:dyDescent="0.35">
      <c r="A392" s="2">
        <v>2</v>
      </c>
      <c r="B392" s="2">
        <v>30.6</v>
      </c>
      <c r="C392" s="2">
        <v>71</v>
      </c>
      <c r="D392" s="2">
        <v>2508</v>
      </c>
      <c r="E392" s="2">
        <v>-5604</v>
      </c>
      <c r="F392" s="2">
        <v>13908</v>
      </c>
      <c r="G392" s="2">
        <v>-207</v>
      </c>
      <c r="H392" s="2">
        <v>244</v>
      </c>
      <c r="I392" s="2">
        <v>-236</v>
      </c>
      <c r="J392">
        <v>1</v>
      </c>
    </row>
    <row r="393" spans="1:10" x14ac:dyDescent="0.35">
      <c r="A393" s="2">
        <v>2</v>
      </c>
      <c r="B393" s="2">
        <v>30.7</v>
      </c>
      <c r="C393" s="2">
        <v>72</v>
      </c>
      <c r="D393" s="2">
        <v>2464</v>
      </c>
      <c r="E393" s="2">
        <v>-5636</v>
      </c>
      <c r="F393" s="2">
        <v>13608</v>
      </c>
      <c r="G393" s="2">
        <v>-190</v>
      </c>
      <c r="H393" s="2">
        <v>286</v>
      </c>
      <c r="I393" s="2">
        <v>-254</v>
      </c>
      <c r="J393">
        <v>1</v>
      </c>
    </row>
    <row r="394" spans="1:10" x14ac:dyDescent="0.35">
      <c r="A394" s="2">
        <v>2</v>
      </c>
      <c r="B394" s="2">
        <v>30.6</v>
      </c>
      <c r="C394" s="2">
        <v>72</v>
      </c>
      <c r="D394" s="2">
        <v>2484</v>
      </c>
      <c r="E394" s="2">
        <v>-5696</v>
      </c>
      <c r="F394" s="2">
        <v>13836</v>
      </c>
      <c r="G394" s="2">
        <v>-189</v>
      </c>
      <c r="H394" s="2">
        <v>256</v>
      </c>
      <c r="I394" s="2">
        <v>-252</v>
      </c>
      <c r="J394">
        <v>1</v>
      </c>
    </row>
    <row r="395" spans="1:10" x14ac:dyDescent="0.35">
      <c r="A395" s="2">
        <v>2</v>
      </c>
      <c r="B395" s="2">
        <v>30.6</v>
      </c>
      <c r="C395" s="2">
        <v>72</v>
      </c>
      <c r="D395" s="2">
        <v>2632</v>
      </c>
      <c r="E395" s="2">
        <v>-5712</v>
      </c>
      <c r="F395" s="2">
        <v>13740</v>
      </c>
      <c r="G395" s="2">
        <v>-208</v>
      </c>
      <c r="H395" s="2">
        <v>255</v>
      </c>
      <c r="I395" s="2">
        <v>-279</v>
      </c>
      <c r="J395">
        <v>1</v>
      </c>
    </row>
    <row r="396" spans="1:10" x14ac:dyDescent="0.35">
      <c r="A396" s="2">
        <v>2</v>
      </c>
      <c r="B396" s="2">
        <v>30.6</v>
      </c>
      <c r="C396" s="2">
        <v>72</v>
      </c>
      <c r="D396" s="2">
        <v>2524</v>
      </c>
      <c r="E396" s="2">
        <v>-5732</v>
      </c>
      <c r="F396" s="2">
        <v>13744</v>
      </c>
      <c r="G396" s="2">
        <v>-210</v>
      </c>
      <c r="H396" s="2">
        <v>271</v>
      </c>
      <c r="I396" s="2">
        <v>-265</v>
      </c>
      <c r="J396">
        <v>1</v>
      </c>
    </row>
    <row r="397" spans="1:10" x14ac:dyDescent="0.35">
      <c r="A397" s="2">
        <v>2</v>
      </c>
      <c r="B397" s="2">
        <v>30.6</v>
      </c>
      <c r="C397" s="2">
        <v>72</v>
      </c>
      <c r="D397" s="2">
        <v>2664</v>
      </c>
      <c r="E397" s="2">
        <v>-5544</v>
      </c>
      <c r="F397" s="2">
        <v>13744</v>
      </c>
      <c r="G397" s="2">
        <v>-297</v>
      </c>
      <c r="H397" s="2">
        <v>397</v>
      </c>
      <c r="I397" s="2">
        <v>-241</v>
      </c>
      <c r="J397">
        <v>1</v>
      </c>
    </row>
    <row r="398" spans="1:10" x14ac:dyDescent="0.35">
      <c r="A398" s="2">
        <v>2</v>
      </c>
      <c r="B398" s="2">
        <v>30.6</v>
      </c>
      <c r="C398" s="2">
        <v>72</v>
      </c>
      <c r="D398" s="2">
        <v>2524</v>
      </c>
      <c r="E398" s="2">
        <v>-5616</v>
      </c>
      <c r="F398" s="2">
        <v>13772</v>
      </c>
      <c r="G398" s="2">
        <v>-238</v>
      </c>
      <c r="H398" s="2">
        <v>464</v>
      </c>
      <c r="I398" s="2">
        <v>-285</v>
      </c>
      <c r="J398">
        <v>1</v>
      </c>
    </row>
    <row r="399" spans="1:10" x14ac:dyDescent="0.35">
      <c r="A399" s="2">
        <v>2</v>
      </c>
      <c r="B399" s="2">
        <v>30.7</v>
      </c>
      <c r="C399" s="2">
        <v>72</v>
      </c>
      <c r="D399" s="2">
        <v>2616</v>
      </c>
      <c r="E399" s="2">
        <v>-5656</v>
      </c>
      <c r="F399" s="2">
        <v>13724</v>
      </c>
      <c r="G399" s="2">
        <v>-309</v>
      </c>
      <c r="H399" s="2">
        <v>-394</v>
      </c>
      <c r="I399" s="2">
        <v>-825</v>
      </c>
      <c r="J399">
        <v>1</v>
      </c>
    </row>
    <row r="400" spans="1:10" x14ac:dyDescent="0.35">
      <c r="A400" s="2">
        <v>2</v>
      </c>
      <c r="B400" s="2">
        <v>30.7</v>
      </c>
      <c r="C400" s="2">
        <v>71</v>
      </c>
      <c r="D400" s="2">
        <v>2572</v>
      </c>
      <c r="E400" s="2">
        <v>-5612</v>
      </c>
      <c r="F400" s="2">
        <v>13628</v>
      </c>
      <c r="G400" s="2">
        <v>-195</v>
      </c>
      <c r="H400" s="2">
        <v>295</v>
      </c>
      <c r="I400" s="2">
        <v>-265</v>
      </c>
      <c r="J400">
        <v>1</v>
      </c>
    </row>
    <row r="401" spans="1:10" x14ac:dyDescent="0.35">
      <c r="A401" s="2">
        <v>2</v>
      </c>
      <c r="B401" s="2">
        <v>30.7</v>
      </c>
      <c r="C401" s="2">
        <v>71</v>
      </c>
      <c r="D401" s="2">
        <v>2440</v>
      </c>
      <c r="E401" s="2">
        <v>-5584</v>
      </c>
      <c r="F401" s="2">
        <v>13744</v>
      </c>
      <c r="G401" s="2">
        <v>-232</v>
      </c>
      <c r="H401" s="2">
        <v>225</v>
      </c>
      <c r="I401" s="2">
        <v>-265</v>
      </c>
      <c r="J401">
        <v>1</v>
      </c>
    </row>
    <row r="402" spans="1:10" x14ac:dyDescent="0.35">
      <c r="A402" s="2">
        <v>2</v>
      </c>
      <c r="B402" s="2">
        <v>30.7</v>
      </c>
      <c r="C402" s="2">
        <v>70</v>
      </c>
      <c r="D402" s="2">
        <v>2708</v>
      </c>
      <c r="E402" s="2">
        <v>-5624</v>
      </c>
      <c r="F402" s="2">
        <v>13836</v>
      </c>
      <c r="G402" s="2">
        <v>-208</v>
      </c>
      <c r="H402" s="2">
        <v>270</v>
      </c>
      <c r="I402" s="2">
        <v>-256</v>
      </c>
      <c r="J402">
        <v>1</v>
      </c>
    </row>
    <row r="403" spans="1:10" x14ac:dyDescent="0.35">
      <c r="A403" s="2">
        <v>2</v>
      </c>
      <c r="B403" s="2">
        <v>30.7</v>
      </c>
      <c r="C403" s="2">
        <v>70</v>
      </c>
      <c r="D403" s="2">
        <v>2644</v>
      </c>
      <c r="E403" s="2">
        <v>-5684</v>
      </c>
      <c r="F403" s="2">
        <v>13752</v>
      </c>
      <c r="G403" s="2">
        <v>-232</v>
      </c>
      <c r="H403" s="2">
        <v>326</v>
      </c>
      <c r="I403" s="2">
        <v>-228</v>
      </c>
      <c r="J403">
        <v>1</v>
      </c>
    </row>
    <row r="404" spans="1:10" x14ac:dyDescent="0.35">
      <c r="A404" s="2">
        <v>2</v>
      </c>
      <c r="B404" s="2">
        <v>30.7</v>
      </c>
      <c r="C404" s="2">
        <v>71</v>
      </c>
      <c r="D404" s="2">
        <v>2580</v>
      </c>
      <c r="E404" s="2">
        <v>-5636</v>
      </c>
      <c r="F404" s="2">
        <v>13700</v>
      </c>
      <c r="G404" s="2">
        <v>-242</v>
      </c>
      <c r="H404" s="2">
        <v>467</v>
      </c>
      <c r="I404" s="2">
        <v>-238</v>
      </c>
      <c r="J404">
        <v>1</v>
      </c>
    </row>
    <row r="405" spans="1:10" x14ac:dyDescent="0.35">
      <c r="A405" s="2">
        <v>2</v>
      </c>
      <c r="B405" s="2">
        <v>30.6</v>
      </c>
      <c r="C405" s="2">
        <v>70</v>
      </c>
      <c r="D405" s="2">
        <v>2528</v>
      </c>
      <c r="E405" s="2">
        <v>-5640</v>
      </c>
      <c r="F405" s="2">
        <v>13768</v>
      </c>
      <c r="G405" s="2">
        <v>-306</v>
      </c>
      <c r="H405" s="2">
        <v>269</v>
      </c>
      <c r="I405" s="2">
        <v>-287</v>
      </c>
      <c r="J405">
        <v>1</v>
      </c>
    </row>
    <row r="406" spans="1:10" x14ac:dyDescent="0.35">
      <c r="A406" s="2">
        <v>2</v>
      </c>
      <c r="B406" s="2">
        <v>30.5</v>
      </c>
      <c r="C406" s="2">
        <v>70</v>
      </c>
      <c r="D406" s="2">
        <v>2532</v>
      </c>
      <c r="E406" s="2">
        <v>-5620</v>
      </c>
      <c r="F406" s="2">
        <v>13756</v>
      </c>
      <c r="G406" s="2">
        <v>-257</v>
      </c>
      <c r="H406" s="2">
        <v>296</v>
      </c>
      <c r="I406" s="2">
        <v>-226</v>
      </c>
      <c r="J406">
        <v>1</v>
      </c>
    </row>
    <row r="407" spans="1:10" x14ac:dyDescent="0.35">
      <c r="A407" s="2">
        <v>2</v>
      </c>
      <c r="B407" s="2">
        <v>30.6</v>
      </c>
      <c r="C407" s="2">
        <v>70</v>
      </c>
      <c r="D407" s="2">
        <v>2536</v>
      </c>
      <c r="E407" s="2">
        <v>-5724</v>
      </c>
      <c r="F407" s="2">
        <v>13844</v>
      </c>
      <c r="G407" s="2">
        <v>-251</v>
      </c>
      <c r="H407" s="2">
        <v>469</v>
      </c>
      <c r="I407" s="2">
        <v>-267</v>
      </c>
      <c r="J407">
        <v>1</v>
      </c>
    </row>
    <row r="408" spans="1:10" x14ac:dyDescent="0.35">
      <c r="A408" s="2">
        <v>2</v>
      </c>
      <c r="B408" s="2">
        <v>30.7</v>
      </c>
      <c r="C408" s="2">
        <v>70</v>
      </c>
      <c r="D408" s="2">
        <v>2720</v>
      </c>
      <c r="E408" s="2">
        <v>-5768</v>
      </c>
      <c r="F408" s="2">
        <v>13656</v>
      </c>
      <c r="G408" s="2">
        <v>-179</v>
      </c>
      <c r="H408" s="2">
        <v>476</v>
      </c>
      <c r="I408" s="2">
        <v>-291</v>
      </c>
      <c r="J408">
        <v>1</v>
      </c>
    </row>
    <row r="409" spans="1:10" x14ac:dyDescent="0.35">
      <c r="A409" s="2">
        <v>2</v>
      </c>
      <c r="B409" s="2">
        <v>30.7</v>
      </c>
      <c r="C409" s="2">
        <v>69</v>
      </c>
      <c r="D409" s="2">
        <v>2528</v>
      </c>
      <c r="E409" s="2">
        <v>-5584</v>
      </c>
      <c r="F409" s="2">
        <v>13728</v>
      </c>
      <c r="G409" s="2">
        <v>-249</v>
      </c>
      <c r="H409" s="2">
        <v>463</v>
      </c>
      <c r="I409" s="2">
        <v>-247</v>
      </c>
      <c r="J409">
        <v>1</v>
      </c>
    </row>
    <row r="410" spans="1:10" x14ac:dyDescent="0.35">
      <c r="A410" s="2">
        <v>2</v>
      </c>
      <c r="B410" s="2">
        <v>30.6</v>
      </c>
      <c r="C410" s="2">
        <v>69</v>
      </c>
      <c r="D410" s="2">
        <v>2692</v>
      </c>
      <c r="E410" s="2">
        <v>-5532</v>
      </c>
      <c r="F410" s="2">
        <v>13664</v>
      </c>
      <c r="G410" s="2">
        <v>-265</v>
      </c>
      <c r="H410" s="2">
        <v>400</v>
      </c>
      <c r="I410" s="2">
        <v>-356</v>
      </c>
      <c r="J410">
        <v>1</v>
      </c>
    </row>
    <row r="411" spans="1:10" x14ac:dyDescent="0.35">
      <c r="A411" s="2">
        <v>2</v>
      </c>
      <c r="B411" s="2">
        <v>30.6</v>
      </c>
      <c r="C411" s="2">
        <v>69</v>
      </c>
      <c r="D411" s="2">
        <v>2480</v>
      </c>
      <c r="E411" s="2">
        <v>-5712</v>
      </c>
      <c r="F411" s="2">
        <v>13608</v>
      </c>
      <c r="G411" s="2">
        <v>-190</v>
      </c>
      <c r="H411" s="2">
        <v>282</v>
      </c>
      <c r="I411" s="2">
        <v>-251</v>
      </c>
      <c r="J411">
        <v>1</v>
      </c>
    </row>
    <row r="412" spans="1:10" x14ac:dyDescent="0.35">
      <c r="A412" s="2">
        <v>2</v>
      </c>
      <c r="B412" s="2">
        <v>30.6</v>
      </c>
      <c r="C412" s="2">
        <v>69</v>
      </c>
      <c r="D412" s="2">
        <v>2528</v>
      </c>
      <c r="E412" s="2">
        <v>-5588</v>
      </c>
      <c r="F412" s="2">
        <v>13708</v>
      </c>
      <c r="G412" s="2">
        <v>-167</v>
      </c>
      <c r="H412" s="2">
        <v>379</v>
      </c>
      <c r="I412" s="2">
        <v>-279</v>
      </c>
      <c r="J412">
        <v>1</v>
      </c>
    </row>
    <row r="413" spans="1:10" x14ac:dyDescent="0.35">
      <c r="A413" s="2">
        <v>2</v>
      </c>
      <c r="B413" s="2">
        <v>30.6</v>
      </c>
      <c r="C413" s="2">
        <v>69</v>
      </c>
      <c r="D413" s="2">
        <v>2672</v>
      </c>
      <c r="E413" s="2">
        <v>-5672</v>
      </c>
      <c r="F413" s="2">
        <v>13944</v>
      </c>
      <c r="G413" s="2">
        <v>-226</v>
      </c>
      <c r="H413" s="2">
        <v>477</v>
      </c>
      <c r="I413" s="2">
        <v>-368</v>
      </c>
      <c r="J413">
        <v>1</v>
      </c>
    </row>
    <row r="414" spans="1:10" x14ac:dyDescent="0.35">
      <c r="A414" s="2">
        <v>2</v>
      </c>
      <c r="B414" s="2">
        <v>30.6</v>
      </c>
      <c r="C414" s="2">
        <v>70</v>
      </c>
      <c r="D414" s="2">
        <v>2692</v>
      </c>
      <c r="E414" s="2">
        <v>-5596</v>
      </c>
      <c r="F414" s="2">
        <v>13724</v>
      </c>
      <c r="G414" s="2">
        <v>-252</v>
      </c>
      <c r="H414" s="2">
        <v>294</v>
      </c>
      <c r="I414" s="2">
        <v>-223</v>
      </c>
      <c r="J414">
        <v>1</v>
      </c>
    </row>
    <row r="415" spans="1:10" x14ac:dyDescent="0.35">
      <c r="A415" s="2">
        <v>2</v>
      </c>
      <c r="B415" s="2">
        <v>30.6</v>
      </c>
      <c r="C415" s="2">
        <v>70</v>
      </c>
      <c r="D415" s="2">
        <v>2564</v>
      </c>
      <c r="E415" s="2">
        <v>-5732</v>
      </c>
      <c r="F415" s="2">
        <v>13656</v>
      </c>
      <c r="G415" s="2">
        <v>-227</v>
      </c>
      <c r="H415" s="2">
        <v>407</v>
      </c>
      <c r="I415" s="2">
        <v>-274</v>
      </c>
      <c r="J415">
        <v>1</v>
      </c>
    </row>
    <row r="416" spans="1:10" x14ac:dyDescent="0.35">
      <c r="A416" s="2">
        <v>2</v>
      </c>
      <c r="B416" s="2">
        <v>30.6</v>
      </c>
      <c r="C416" s="2">
        <v>70</v>
      </c>
      <c r="D416" s="2">
        <v>2544</v>
      </c>
      <c r="E416" s="2">
        <v>-5684</v>
      </c>
      <c r="F416" s="2">
        <v>13684</v>
      </c>
      <c r="G416" s="2">
        <v>-185</v>
      </c>
      <c r="H416" s="2">
        <v>482</v>
      </c>
      <c r="I416" s="2">
        <v>-274</v>
      </c>
      <c r="J416">
        <v>1</v>
      </c>
    </row>
    <row r="417" spans="1:10" x14ac:dyDescent="0.35">
      <c r="A417" s="2">
        <v>2</v>
      </c>
      <c r="B417" s="2">
        <v>30.7</v>
      </c>
      <c r="C417" s="2">
        <v>70</v>
      </c>
      <c r="D417" s="2">
        <v>2484</v>
      </c>
      <c r="E417" s="2">
        <v>-5616</v>
      </c>
      <c r="F417" s="2">
        <v>13832</v>
      </c>
      <c r="G417" s="2">
        <v>-273</v>
      </c>
      <c r="H417" s="2">
        <v>524</v>
      </c>
      <c r="I417" s="2">
        <v>-291</v>
      </c>
      <c r="J417">
        <v>1</v>
      </c>
    </row>
    <row r="418" spans="1:10" x14ac:dyDescent="0.35">
      <c r="A418" s="2">
        <v>2</v>
      </c>
      <c r="B418" s="2">
        <v>30.5</v>
      </c>
      <c r="C418" s="2">
        <v>70</v>
      </c>
      <c r="D418" s="2">
        <v>2472</v>
      </c>
      <c r="E418" s="2">
        <v>-5636</v>
      </c>
      <c r="F418" s="2">
        <v>13572</v>
      </c>
      <c r="G418" s="2">
        <v>-226</v>
      </c>
      <c r="H418" s="2">
        <v>418</v>
      </c>
      <c r="I418" s="2">
        <v>-246</v>
      </c>
      <c r="J418">
        <v>1</v>
      </c>
    </row>
    <row r="419" spans="1:10" x14ac:dyDescent="0.35">
      <c r="A419" s="2">
        <v>2</v>
      </c>
      <c r="B419" s="2">
        <v>30.6</v>
      </c>
      <c r="C419" s="2">
        <v>71</v>
      </c>
      <c r="D419" s="2">
        <v>2524</v>
      </c>
      <c r="E419" s="2">
        <v>-5568</v>
      </c>
      <c r="F419" s="2">
        <v>13948</v>
      </c>
      <c r="G419" s="2">
        <v>-200</v>
      </c>
      <c r="H419" s="2">
        <v>496</v>
      </c>
      <c r="I419" s="2">
        <v>-463</v>
      </c>
      <c r="J419">
        <v>1</v>
      </c>
    </row>
    <row r="420" spans="1:10" x14ac:dyDescent="0.35">
      <c r="A420" s="2">
        <v>2</v>
      </c>
      <c r="B420" s="2">
        <v>30.7</v>
      </c>
      <c r="C420" s="2">
        <v>71</v>
      </c>
      <c r="D420" s="2">
        <v>3096</v>
      </c>
      <c r="E420" s="2">
        <v>-5588</v>
      </c>
      <c r="F420" s="2">
        <v>13948</v>
      </c>
      <c r="G420" s="2">
        <v>-536</v>
      </c>
      <c r="H420" s="2">
        <v>513</v>
      </c>
      <c r="I420" s="2">
        <v>-299</v>
      </c>
      <c r="J420">
        <v>1</v>
      </c>
    </row>
    <row r="421" spans="1:10" x14ac:dyDescent="0.35">
      <c r="A421" s="2">
        <v>2</v>
      </c>
      <c r="B421" s="2">
        <v>30.6</v>
      </c>
      <c r="C421" s="2">
        <v>71</v>
      </c>
      <c r="D421" s="2">
        <v>2608</v>
      </c>
      <c r="E421" s="2">
        <v>-5604</v>
      </c>
      <c r="F421" s="2">
        <v>13880</v>
      </c>
      <c r="G421" s="2">
        <v>-228</v>
      </c>
      <c r="H421" s="2">
        <v>306</v>
      </c>
      <c r="I421" s="2">
        <v>-270</v>
      </c>
      <c r="J421">
        <v>1</v>
      </c>
    </row>
    <row r="422" spans="1:10" x14ac:dyDescent="0.35">
      <c r="A422" s="2">
        <v>2</v>
      </c>
      <c r="B422" s="2">
        <v>30.6</v>
      </c>
      <c r="C422" s="2">
        <v>71</v>
      </c>
      <c r="D422" s="2">
        <v>2688</v>
      </c>
      <c r="E422" s="2">
        <v>-5620</v>
      </c>
      <c r="F422" s="2">
        <v>13716</v>
      </c>
      <c r="G422" s="2">
        <v>-262</v>
      </c>
      <c r="H422" s="2">
        <v>448</v>
      </c>
      <c r="I422" s="2">
        <v>-258</v>
      </c>
      <c r="J422">
        <v>1</v>
      </c>
    </row>
    <row r="423" spans="1:10" x14ac:dyDescent="0.35">
      <c r="A423" s="2">
        <v>2</v>
      </c>
      <c r="B423" s="2">
        <v>30.6</v>
      </c>
      <c r="C423" s="2">
        <v>70</v>
      </c>
      <c r="D423" s="2">
        <v>2596</v>
      </c>
      <c r="E423" s="2">
        <v>-5620</v>
      </c>
      <c r="F423" s="2">
        <v>13676</v>
      </c>
      <c r="G423" s="2">
        <v>-286</v>
      </c>
      <c r="H423" s="2">
        <v>450</v>
      </c>
      <c r="I423" s="2">
        <v>-275</v>
      </c>
      <c r="J423">
        <v>1</v>
      </c>
    </row>
    <row r="424" spans="1:10" x14ac:dyDescent="0.35">
      <c r="A424" s="2">
        <v>2</v>
      </c>
      <c r="B424" s="2">
        <v>30.7</v>
      </c>
      <c r="C424" s="2">
        <v>69</v>
      </c>
      <c r="D424" s="2">
        <v>2452</v>
      </c>
      <c r="E424" s="2">
        <v>-5556</v>
      </c>
      <c r="F424" s="2">
        <v>13844</v>
      </c>
      <c r="G424" s="2">
        <v>-252</v>
      </c>
      <c r="H424" s="2">
        <v>518</v>
      </c>
      <c r="I424" s="2">
        <v>-239</v>
      </c>
      <c r="J424">
        <v>1</v>
      </c>
    </row>
    <row r="425" spans="1:10" x14ac:dyDescent="0.35">
      <c r="A425" s="2">
        <v>2</v>
      </c>
      <c r="B425" s="2">
        <v>30.6</v>
      </c>
      <c r="C425" s="2">
        <v>70</v>
      </c>
      <c r="D425" s="2">
        <v>2708</v>
      </c>
      <c r="E425" s="2">
        <v>-5752</v>
      </c>
      <c r="F425" s="2">
        <v>13784</v>
      </c>
      <c r="G425" s="2">
        <v>-143</v>
      </c>
      <c r="H425" s="2">
        <v>829</v>
      </c>
      <c r="I425" s="2">
        <v>-331</v>
      </c>
      <c r="J425">
        <v>1</v>
      </c>
    </row>
    <row r="426" spans="1:10" x14ac:dyDescent="0.35">
      <c r="A426" s="2">
        <v>2</v>
      </c>
      <c r="B426" s="2">
        <v>30.6</v>
      </c>
      <c r="C426" s="2">
        <v>70</v>
      </c>
      <c r="D426" s="2">
        <v>2772</v>
      </c>
      <c r="E426" s="2">
        <v>-5568</v>
      </c>
      <c r="F426" s="2">
        <v>13620</v>
      </c>
      <c r="G426" s="2">
        <v>-278</v>
      </c>
      <c r="H426" s="2">
        <v>532</v>
      </c>
      <c r="I426" s="2">
        <v>-334</v>
      </c>
      <c r="J426">
        <v>1</v>
      </c>
    </row>
    <row r="427" spans="1:10" x14ac:dyDescent="0.35">
      <c r="A427" s="2">
        <v>2</v>
      </c>
      <c r="B427" s="2">
        <v>30.6</v>
      </c>
      <c r="C427" s="2">
        <v>70</v>
      </c>
      <c r="D427" s="2">
        <v>2820</v>
      </c>
      <c r="E427" s="2">
        <v>-5756</v>
      </c>
      <c r="F427" s="2">
        <v>14160</v>
      </c>
      <c r="G427" s="2">
        <v>-182</v>
      </c>
      <c r="H427" s="2">
        <v>427</v>
      </c>
      <c r="I427" s="2">
        <v>-249</v>
      </c>
      <c r="J427">
        <v>1</v>
      </c>
    </row>
    <row r="428" spans="1:10" x14ac:dyDescent="0.35">
      <c r="A428" s="2">
        <v>2</v>
      </c>
      <c r="B428" s="2">
        <v>30.5</v>
      </c>
      <c r="C428" s="2">
        <v>70</v>
      </c>
      <c r="D428" s="2">
        <v>2552</v>
      </c>
      <c r="E428" s="2">
        <v>-5624</v>
      </c>
      <c r="F428" s="2">
        <v>13596</v>
      </c>
      <c r="G428" s="2">
        <v>-265</v>
      </c>
      <c r="H428" s="2">
        <v>306</v>
      </c>
      <c r="I428" s="2">
        <v>-256</v>
      </c>
      <c r="J428">
        <v>1</v>
      </c>
    </row>
    <row r="429" spans="1:10" x14ac:dyDescent="0.35">
      <c r="A429" s="2">
        <v>2</v>
      </c>
      <c r="B429" s="2">
        <v>30.6</v>
      </c>
      <c r="C429" s="2">
        <v>70</v>
      </c>
      <c r="D429" s="2">
        <v>2388</v>
      </c>
      <c r="E429" s="2">
        <v>-5656</v>
      </c>
      <c r="F429" s="2">
        <v>13632</v>
      </c>
      <c r="G429" s="2">
        <v>-172</v>
      </c>
      <c r="H429" s="2">
        <v>272</v>
      </c>
      <c r="I429" s="2">
        <v>-248</v>
      </c>
      <c r="J429">
        <v>1</v>
      </c>
    </row>
    <row r="430" spans="1:10" x14ac:dyDescent="0.35">
      <c r="A430" s="2">
        <v>2</v>
      </c>
      <c r="B430" s="2">
        <v>30.6</v>
      </c>
      <c r="C430" s="2">
        <v>69</v>
      </c>
      <c r="D430" s="2">
        <v>2464</v>
      </c>
      <c r="E430" s="2">
        <v>-5592</v>
      </c>
      <c r="F430" s="2">
        <v>13832</v>
      </c>
      <c r="G430" s="2">
        <v>-280</v>
      </c>
      <c r="H430" s="2">
        <v>353</v>
      </c>
      <c r="I430" s="2">
        <v>-235</v>
      </c>
      <c r="J430">
        <v>1</v>
      </c>
    </row>
    <row r="431" spans="1:10" x14ac:dyDescent="0.35">
      <c r="A431" s="2">
        <v>2</v>
      </c>
      <c r="B431" s="2">
        <v>30.6</v>
      </c>
      <c r="C431" s="2">
        <v>70</v>
      </c>
      <c r="D431" s="2">
        <v>2784</v>
      </c>
      <c r="E431" s="2">
        <v>-5676</v>
      </c>
      <c r="F431" s="2">
        <v>13632</v>
      </c>
      <c r="G431" s="2">
        <v>-253</v>
      </c>
      <c r="H431" s="2">
        <v>372</v>
      </c>
      <c r="I431" s="2">
        <v>-415</v>
      </c>
      <c r="J431">
        <v>1</v>
      </c>
    </row>
    <row r="432" spans="1:10" x14ac:dyDescent="0.35">
      <c r="A432" s="2">
        <v>2</v>
      </c>
      <c r="B432" s="2">
        <v>30.6</v>
      </c>
      <c r="C432" s="2">
        <v>70</v>
      </c>
      <c r="D432" s="2">
        <v>2508</v>
      </c>
      <c r="E432" s="2">
        <v>-5800</v>
      </c>
      <c r="F432" s="2">
        <v>13808</v>
      </c>
      <c r="G432" s="2">
        <v>-222</v>
      </c>
      <c r="H432" s="2">
        <v>940</v>
      </c>
      <c r="I432" s="2">
        <v>-337</v>
      </c>
      <c r="J432">
        <v>1</v>
      </c>
    </row>
    <row r="433" spans="1:10" x14ac:dyDescent="0.35">
      <c r="A433" s="2">
        <v>2</v>
      </c>
      <c r="B433" s="2">
        <v>30.6</v>
      </c>
      <c r="C433" s="2">
        <v>70</v>
      </c>
      <c r="D433" s="2">
        <v>2632</v>
      </c>
      <c r="E433" s="2">
        <v>-5736</v>
      </c>
      <c r="F433" s="2">
        <v>14244</v>
      </c>
      <c r="G433" s="2">
        <v>-377</v>
      </c>
      <c r="H433" s="2">
        <v>381</v>
      </c>
      <c r="I433" s="2">
        <v>-237</v>
      </c>
      <c r="J433">
        <v>1</v>
      </c>
    </row>
    <row r="434" spans="1:10" x14ac:dyDescent="0.35">
      <c r="A434" s="2">
        <v>2</v>
      </c>
      <c r="B434" s="2">
        <v>30.6</v>
      </c>
      <c r="C434" s="2">
        <v>70</v>
      </c>
      <c r="D434" s="2">
        <v>2504</v>
      </c>
      <c r="E434" s="2">
        <v>-5644</v>
      </c>
      <c r="F434" s="2">
        <v>13556</v>
      </c>
      <c r="G434" s="2">
        <v>-433</v>
      </c>
      <c r="H434" s="2">
        <v>484</v>
      </c>
      <c r="I434" s="2">
        <v>-246</v>
      </c>
      <c r="J434">
        <v>1</v>
      </c>
    </row>
    <row r="435" spans="1:10" x14ac:dyDescent="0.35">
      <c r="A435" s="2">
        <v>2</v>
      </c>
      <c r="B435" s="2">
        <v>30.5</v>
      </c>
      <c r="C435" s="2">
        <v>70</v>
      </c>
      <c r="D435" s="2">
        <v>2488</v>
      </c>
      <c r="E435" s="2">
        <v>-5664</v>
      </c>
      <c r="F435" s="2">
        <v>13688</v>
      </c>
      <c r="G435" s="2">
        <v>-220</v>
      </c>
      <c r="H435" s="2">
        <v>409</v>
      </c>
      <c r="I435" s="2">
        <v>-396</v>
      </c>
      <c r="J435">
        <v>1</v>
      </c>
    </row>
    <row r="436" spans="1:10" x14ac:dyDescent="0.35">
      <c r="A436" s="2">
        <v>2</v>
      </c>
      <c r="B436" s="2">
        <v>30.6</v>
      </c>
      <c r="C436" s="2">
        <v>71</v>
      </c>
      <c r="D436" s="2">
        <v>2540</v>
      </c>
      <c r="E436" s="2">
        <v>-5572</v>
      </c>
      <c r="F436" s="2">
        <v>13820</v>
      </c>
      <c r="G436" s="2">
        <v>-274</v>
      </c>
      <c r="H436" s="2">
        <v>526</v>
      </c>
      <c r="I436" s="2">
        <v>-374</v>
      </c>
      <c r="J436">
        <v>1</v>
      </c>
    </row>
    <row r="437" spans="1:10" x14ac:dyDescent="0.35">
      <c r="A437" s="2">
        <v>2</v>
      </c>
      <c r="B437" s="2">
        <v>30.5</v>
      </c>
      <c r="C437" s="2">
        <v>70</v>
      </c>
      <c r="D437" s="2">
        <v>2388</v>
      </c>
      <c r="E437" s="2">
        <v>-5672</v>
      </c>
      <c r="F437" s="2">
        <v>13784</v>
      </c>
      <c r="G437" s="2">
        <v>-193</v>
      </c>
      <c r="H437" s="2">
        <v>265</v>
      </c>
      <c r="I437" s="2">
        <v>-265</v>
      </c>
      <c r="J437">
        <v>1</v>
      </c>
    </row>
    <row r="438" spans="1:10" x14ac:dyDescent="0.35">
      <c r="A438" s="2">
        <v>2</v>
      </c>
      <c r="B438" s="2">
        <v>30.5</v>
      </c>
      <c r="C438" s="2">
        <v>70</v>
      </c>
      <c r="D438" s="2">
        <v>2644</v>
      </c>
      <c r="E438" s="2">
        <v>-5684</v>
      </c>
      <c r="F438" s="2">
        <v>13784</v>
      </c>
      <c r="G438" s="2">
        <v>-236</v>
      </c>
      <c r="H438" s="2">
        <v>445</v>
      </c>
      <c r="I438" s="2">
        <v>-210</v>
      </c>
      <c r="J438">
        <v>1</v>
      </c>
    </row>
    <row r="439" spans="1:10" x14ac:dyDescent="0.35">
      <c r="A439" s="2">
        <v>2</v>
      </c>
      <c r="B439" s="2">
        <v>30.5</v>
      </c>
      <c r="C439" s="2">
        <v>70</v>
      </c>
      <c r="D439" s="2">
        <v>2500</v>
      </c>
      <c r="E439" s="2">
        <v>-5644</v>
      </c>
      <c r="F439" s="2">
        <v>13704</v>
      </c>
      <c r="G439" s="2">
        <v>-254</v>
      </c>
      <c r="H439" s="2">
        <v>310</v>
      </c>
      <c r="I439" s="2">
        <v>-245</v>
      </c>
      <c r="J439">
        <v>1</v>
      </c>
    </row>
    <row r="440" spans="1:10" x14ac:dyDescent="0.35">
      <c r="A440" s="2">
        <v>2</v>
      </c>
      <c r="B440" s="2">
        <v>30.6</v>
      </c>
      <c r="C440" s="2">
        <v>70</v>
      </c>
      <c r="D440" s="2">
        <v>2592</v>
      </c>
      <c r="E440" s="2">
        <v>-5728</v>
      </c>
      <c r="F440" s="2">
        <v>13776</v>
      </c>
      <c r="G440" s="2">
        <v>-313</v>
      </c>
      <c r="H440" s="2">
        <v>392</v>
      </c>
      <c r="I440" s="2">
        <v>-288</v>
      </c>
      <c r="J440">
        <v>1</v>
      </c>
    </row>
    <row r="441" spans="1:10" x14ac:dyDescent="0.35">
      <c r="A441" s="2">
        <v>2</v>
      </c>
      <c r="B441" s="2">
        <v>30.6</v>
      </c>
      <c r="C441" s="2">
        <v>69</v>
      </c>
      <c r="D441" s="2">
        <v>2544</v>
      </c>
      <c r="E441" s="2">
        <v>-5616</v>
      </c>
      <c r="F441" s="2">
        <v>13700</v>
      </c>
      <c r="G441" s="2">
        <v>-270</v>
      </c>
      <c r="H441" s="2">
        <v>300</v>
      </c>
      <c r="I441" s="2">
        <v>-331</v>
      </c>
      <c r="J441">
        <v>1</v>
      </c>
    </row>
    <row r="442" spans="1:10" x14ac:dyDescent="0.35">
      <c r="A442" s="2">
        <v>2</v>
      </c>
      <c r="B442" s="2">
        <v>30.6</v>
      </c>
      <c r="C442" s="2">
        <v>69</v>
      </c>
      <c r="D442" s="2">
        <v>2464</v>
      </c>
      <c r="E442" s="2">
        <v>-5796</v>
      </c>
      <c r="F442" s="2">
        <v>13792</v>
      </c>
      <c r="G442" s="2">
        <v>-193</v>
      </c>
      <c r="H442" s="2">
        <v>280</v>
      </c>
      <c r="I442" s="2">
        <v>-276</v>
      </c>
      <c r="J442">
        <v>1</v>
      </c>
    </row>
    <row r="443" spans="1:10" x14ac:dyDescent="0.35">
      <c r="A443" s="2">
        <v>2</v>
      </c>
      <c r="B443" s="2">
        <v>30.6</v>
      </c>
      <c r="C443" s="2">
        <v>69</v>
      </c>
      <c r="D443" s="2">
        <v>2532</v>
      </c>
      <c r="E443" s="2">
        <v>-5764</v>
      </c>
      <c r="F443" s="2">
        <v>13704</v>
      </c>
      <c r="G443" s="2">
        <v>-265</v>
      </c>
      <c r="H443" s="2">
        <v>598</v>
      </c>
      <c r="I443" s="2">
        <v>-277</v>
      </c>
      <c r="J443">
        <v>1</v>
      </c>
    </row>
    <row r="444" spans="1:10" x14ac:dyDescent="0.35">
      <c r="A444" s="2">
        <v>2</v>
      </c>
      <c r="B444" s="2">
        <v>30.6</v>
      </c>
      <c r="C444" s="2">
        <v>70</v>
      </c>
      <c r="D444" s="2">
        <v>2616</v>
      </c>
      <c r="E444" s="2">
        <v>-5652</v>
      </c>
      <c r="F444" s="2">
        <v>13928</v>
      </c>
      <c r="G444" s="2">
        <v>-208</v>
      </c>
      <c r="H444" s="2">
        <v>360</v>
      </c>
      <c r="I444" s="2">
        <v>-338</v>
      </c>
      <c r="J444">
        <v>1</v>
      </c>
    </row>
    <row r="445" spans="1:10" x14ac:dyDescent="0.35">
      <c r="A445" s="2">
        <v>2</v>
      </c>
      <c r="B445" s="2">
        <v>30.5</v>
      </c>
      <c r="C445" s="2">
        <v>69</v>
      </c>
      <c r="D445" s="2">
        <v>2512</v>
      </c>
      <c r="E445" s="2">
        <v>-5676</v>
      </c>
      <c r="F445" s="2">
        <v>13740</v>
      </c>
      <c r="G445" s="2">
        <v>-221</v>
      </c>
      <c r="H445" s="2">
        <v>331</v>
      </c>
      <c r="I445" s="2">
        <v>-231</v>
      </c>
      <c r="J445">
        <v>1</v>
      </c>
    </row>
    <row r="446" spans="1:10" x14ac:dyDescent="0.35">
      <c r="A446" s="2">
        <v>2</v>
      </c>
      <c r="B446" s="2">
        <v>30.6</v>
      </c>
      <c r="C446" s="2">
        <v>69</v>
      </c>
      <c r="D446" s="2">
        <v>2604</v>
      </c>
      <c r="E446" s="2">
        <v>-5664</v>
      </c>
      <c r="F446" s="2">
        <v>13724</v>
      </c>
      <c r="G446" s="2">
        <v>-243</v>
      </c>
      <c r="H446" s="2">
        <v>212</v>
      </c>
      <c r="I446" s="2">
        <v>-292</v>
      </c>
      <c r="J446">
        <v>1</v>
      </c>
    </row>
    <row r="447" spans="1:10" x14ac:dyDescent="0.35">
      <c r="A447" s="2">
        <v>2</v>
      </c>
      <c r="B447" s="2">
        <v>30.5</v>
      </c>
      <c r="C447" s="2">
        <v>70</v>
      </c>
      <c r="D447" s="2">
        <v>2764</v>
      </c>
      <c r="E447" s="2">
        <v>-5568</v>
      </c>
      <c r="F447" s="2">
        <v>13744</v>
      </c>
      <c r="G447" s="2">
        <v>-259</v>
      </c>
      <c r="H447" s="2">
        <v>291</v>
      </c>
      <c r="I447" s="2">
        <v>-241</v>
      </c>
      <c r="J447">
        <v>1</v>
      </c>
    </row>
    <row r="448" spans="1:10" x14ac:dyDescent="0.35">
      <c r="A448" s="2">
        <v>2</v>
      </c>
      <c r="B448" s="2">
        <v>30.6</v>
      </c>
      <c r="C448" s="2">
        <v>71</v>
      </c>
      <c r="D448" s="2">
        <v>2300</v>
      </c>
      <c r="E448" s="2">
        <v>-5612</v>
      </c>
      <c r="F448" s="2">
        <v>14444</v>
      </c>
      <c r="G448" s="2">
        <v>-203</v>
      </c>
      <c r="H448" s="2">
        <v>672</v>
      </c>
      <c r="I448" s="2">
        <v>-460</v>
      </c>
      <c r="J448">
        <v>1</v>
      </c>
    </row>
    <row r="449" spans="1:10" x14ac:dyDescent="0.35">
      <c r="A449" s="2">
        <v>2</v>
      </c>
      <c r="B449" s="2">
        <v>30.5</v>
      </c>
      <c r="C449" s="2">
        <v>71</v>
      </c>
      <c r="D449" s="2">
        <v>2640</v>
      </c>
      <c r="E449" s="2">
        <v>-5608</v>
      </c>
      <c r="F449" s="2">
        <v>13584</v>
      </c>
      <c r="G449" s="2">
        <v>-212</v>
      </c>
      <c r="H449" s="2">
        <v>295</v>
      </c>
      <c r="I449" s="2">
        <v>-258</v>
      </c>
      <c r="J449">
        <v>1</v>
      </c>
    </row>
    <row r="450" spans="1:10" x14ac:dyDescent="0.35">
      <c r="A450" s="2">
        <v>2</v>
      </c>
      <c r="B450" s="2">
        <v>30.5</v>
      </c>
      <c r="C450" s="2">
        <v>70</v>
      </c>
      <c r="D450" s="2">
        <v>2464</v>
      </c>
      <c r="E450" s="2">
        <v>-5560</v>
      </c>
      <c r="F450" s="2">
        <v>13732</v>
      </c>
      <c r="G450" s="2">
        <v>-277</v>
      </c>
      <c r="H450" s="2">
        <v>310</v>
      </c>
      <c r="I450" s="2">
        <v>-380</v>
      </c>
      <c r="J450">
        <v>1</v>
      </c>
    </row>
    <row r="451" spans="1:10" x14ac:dyDescent="0.35">
      <c r="A451" s="2">
        <v>2</v>
      </c>
      <c r="B451" s="2">
        <v>30.6</v>
      </c>
      <c r="C451" s="2">
        <v>71</v>
      </c>
      <c r="D451" s="2">
        <v>2572</v>
      </c>
      <c r="E451" s="2">
        <v>-5780</v>
      </c>
      <c r="F451" s="2">
        <v>13732</v>
      </c>
      <c r="G451" s="2">
        <v>-205</v>
      </c>
      <c r="H451" s="2">
        <v>2146</v>
      </c>
      <c r="I451" s="2">
        <v>-303</v>
      </c>
      <c r="J451">
        <v>1</v>
      </c>
    </row>
    <row r="452" spans="1:10" x14ac:dyDescent="0.35">
      <c r="A452" s="2">
        <v>2</v>
      </c>
      <c r="B452" s="2">
        <v>30.5</v>
      </c>
      <c r="C452" s="2">
        <v>71</v>
      </c>
      <c r="D452" s="2">
        <v>2556</v>
      </c>
      <c r="E452" s="2">
        <v>-5620</v>
      </c>
      <c r="F452" s="2">
        <v>13828</v>
      </c>
      <c r="G452" s="2">
        <v>-239</v>
      </c>
      <c r="H452" s="2">
        <v>308</v>
      </c>
      <c r="I452" s="2">
        <v>-223</v>
      </c>
      <c r="J452">
        <v>1</v>
      </c>
    </row>
    <row r="453" spans="1:10" x14ac:dyDescent="0.35">
      <c r="A453" s="2">
        <v>2</v>
      </c>
      <c r="B453" s="2">
        <v>30.6</v>
      </c>
      <c r="C453" s="2">
        <v>71</v>
      </c>
      <c r="D453" s="2">
        <v>2500</v>
      </c>
      <c r="E453" s="2">
        <v>-5656</v>
      </c>
      <c r="F453" s="2">
        <v>13728</v>
      </c>
      <c r="G453" s="2">
        <v>-230</v>
      </c>
      <c r="H453" s="2">
        <v>305</v>
      </c>
      <c r="I453" s="2">
        <v>-274</v>
      </c>
      <c r="J453">
        <v>1</v>
      </c>
    </row>
    <row r="454" spans="1:10" x14ac:dyDescent="0.35">
      <c r="A454" s="2">
        <v>2</v>
      </c>
      <c r="B454" s="2">
        <v>30.5</v>
      </c>
      <c r="C454" s="2">
        <v>71</v>
      </c>
      <c r="D454" s="2">
        <v>2444</v>
      </c>
      <c r="E454" s="2">
        <v>-5560</v>
      </c>
      <c r="F454" s="2">
        <v>13816</v>
      </c>
      <c r="G454" s="2">
        <v>-200</v>
      </c>
      <c r="H454" s="2">
        <v>344</v>
      </c>
      <c r="I454" s="2">
        <v>-250</v>
      </c>
      <c r="J454">
        <v>1</v>
      </c>
    </row>
    <row r="455" spans="1:10" x14ac:dyDescent="0.35">
      <c r="A455" s="2">
        <v>2</v>
      </c>
      <c r="B455" s="2">
        <v>30.5</v>
      </c>
      <c r="C455" s="2">
        <v>71</v>
      </c>
      <c r="D455" s="2">
        <v>2436</v>
      </c>
      <c r="E455" s="2">
        <v>-5644</v>
      </c>
      <c r="F455" s="2">
        <v>13768</v>
      </c>
      <c r="G455" s="2">
        <v>-204</v>
      </c>
      <c r="H455" s="2">
        <v>330</v>
      </c>
      <c r="I455" s="2">
        <v>-257</v>
      </c>
      <c r="J455">
        <v>1</v>
      </c>
    </row>
    <row r="456" spans="1:10" x14ac:dyDescent="0.35">
      <c r="A456" s="2">
        <v>2</v>
      </c>
      <c r="B456" s="2">
        <v>30.5</v>
      </c>
      <c r="C456" s="2">
        <v>71</v>
      </c>
      <c r="D456" s="2">
        <v>2432</v>
      </c>
      <c r="E456" s="2">
        <v>-5632</v>
      </c>
      <c r="F456" s="2">
        <v>13816</v>
      </c>
      <c r="G456" s="2">
        <v>-232</v>
      </c>
      <c r="H456" s="2">
        <v>288</v>
      </c>
      <c r="I456" s="2">
        <v>-259</v>
      </c>
      <c r="J456">
        <v>1</v>
      </c>
    </row>
    <row r="457" spans="1:10" x14ac:dyDescent="0.35">
      <c r="A457" s="2">
        <v>2</v>
      </c>
      <c r="B457" s="2">
        <v>30.6</v>
      </c>
      <c r="C457" s="2">
        <v>71</v>
      </c>
      <c r="D457" s="2">
        <v>2720</v>
      </c>
      <c r="E457" s="2">
        <v>-5636</v>
      </c>
      <c r="F457" s="2">
        <v>13564</v>
      </c>
      <c r="G457" s="2">
        <v>-217</v>
      </c>
      <c r="H457" s="2">
        <v>803</v>
      </c>
      <c r="I457" s="2">
        <v>-343</v>
      </c>
      <c r="J457">
        <v>1</v>
      </c>
    </row>
    <row r="458" spans="1:10" x14ac:dyDescent="0.35">
      <c r="A458" s="2">
        <v>2</v>
      </c>
      <c r="B458" s="2">
        <v>30.5</v>
      </c>
      <c r="C458" s="2">
        <v>71</v>
      </c>
      <c r="D458" s="2">
        <v>2556</v>
      </c>
      <c r="E458" s="2">
        <v>-5604</v>
      </c>
      <c r="F458" s="2">
        <v>13916</v>
      </c>
      <c r="G458" s="2">
        <v>-162</v>
      </c>
      <c r="H458" s="2">
        <v>310</v>
      </c>
      <c r="I458" s="2">
        <v>-278</v>
      </c>
      <c r="J458">
        <v>1</v>
      </c>
    </row>
    <row r="459" spans="1:10" x14ac:dyDescent="0.35">
      <c r="A459" s="2">
        <v>2</v>
      </c>
      <c r="B459" s="2">
        <v>30.5</v>
      </c>
      <c r="C459" s="2">
        <v>71</v>
      </c>
      <c r="D459" s="2">
        <v>2692</v>
      </c>
      <c r="E459" s="2">
        <v>-5656</v>
      </c>
      <c r="F459" s="2">
        <v>13644</v>
      </c>
      <c r="G459" s="2">
        <v>-291</v>
      </c>
      <c r="H459" s="2">
        <v>389</v>
      </c>
      <c r="I459" s="2">
        <v>-225</v>
      </c>
      <c r="J459">
        <v>1</v>
      </c>
    </row>
    <row r="460" spans="1:10" x14ac:dyDescent="0.35">
      <c r="A460" s="2">
        <v>2</v>
      </c>
      <c r="B460" s="2">
        <v>30.6</v>
      </c>
      <c r="C460" s="2">
        <v>71</v>
      </c>
      <c r="D460" s="2">
        <v>2572</v>
      </c>
      <c r="E460" s="2">
        <v>-5560</v>
      </c>
      <c r="F460" s="2">
        <v>13724</v>
      </c>
      <c r="G460" s="2">
        <v>-208</v>
      </c>
      <c r="H460" s="2">
        <v>308</v>
      </c>
      <c r="I460" s="2">
        <v>-275</v>
      </c>
      <c r="J460">
        <v>1</v>
      </c>
    </row>
    <row r="461" spans="1:10" x14ac:dyDescent="0.35">
      <c r="A461" s="2">
        <v>2</v>
      </c>
      <c r="B461" s="2">
        <v>30.5</v>
      </c>
      <c r="C461" s="2">
        <v>71</v>
      </c>
      <c r="D461" s="2">
        <v>2484</v>
      </c>
      <c r="E461" s="2">
        <v>-5560</v>
      </c>
      <c r="F461" s="2">
        <v>13620</v>
      </c>
      <c r="G461" s="2">
        <v>-209</v>
      </c>
      <c r="H461" s="2">
        <v>258</v>
      </c>
      <c r="I461" s="2">
        <v>-240</v>
      </c>
      <c r="J461">
        <v>1</v>
      </c>
    </row>
    <row r="462" spans="1:10" x14ac:dyDescent="0.35">
      <c r="A462" s="2">
        <v>2</v>
      </c>
      <c r="B462" s="2">
        <v>30.5</v>
      </c>
      <c r="C462" s="2">
        <v>71</v>
      </c>
      <c r="D462" s="2">
        <v>2464</v>
      </c>
      <c r="E462" s="2">
        <v>-5612</v>
      </c>
      <c r="F462" s="2">
        <v>13768</v>
      </c>
      <c r="G462" s="2">
        <v>-231</v>
      </c>
      <c r="H462" s="2">
        <v>311</v>
      </c>
      <c r="I462" s="2">
        <v>-238</v>
      </c>
      <c r="J462">
        <v>1</v>
      </c>
    </row>
    <row r="463" spans="1:10" x14ac:dyDescent="0.35">
      <c r="A463" s="2">
        <v>2</v>
      </c>
      <c r="B463" s="2">
        <v>30.6</v>
      </c>
      <c r="C463" s="2">
        <v>71</v>
      </c>
      <c r="D463" s="2">
        <v>2552</v>
      </c>
      <c r="E463" s="2">
        <v>-5656</v>
      </c>
      <c r="F463" s="2">
        <v>13684</v>
      </c>
      <c r="G463" s="2">
        <v>-241</v>
      </c>
      <c r="H463" s="2">
        <v>380</v>
      </c>
      <c r="I463" s="2">
        <v>-226</v>
      </c>
      <c r="J463">
        <v>1</v>
      </c>
    </row>
    <row r="464" spans="1:10" x14ac:dyDescent="0.35">
      <c r="A464" s="2">
        <v>2</v>
      </c>
      <c r="B464" s="2">
        <v>30.5</v>
      </c>
      <c r="C464" s="2">
        <v>71</v>
      </c>
      <c r="D464" s="2">
        <v>2484</v>
      </c>
      <c r="E464" s="2">
        <v>-5640</v>
      </c>
      <c r="F464" s="2">
        <v>13736</v>
      </c>
      <c r="G464" s="2">
        <v>-238</v>
      </c>
      <c r="H464" s="2">
        <v>370</v>
      </c>
      <c r="I464" s="2">
        <v>-255</v>
      </c>
      <c r="J464">
        <v>1</v>
      </c>
    </row>
    <row r="465" spans="1:10" x14ac:dyDescent="0.35">
      <c r="A465" s="2">
        <v>2</v>
      </c>
      <c r="B465" s="2">
        <v>30.4</v>
      </c>
      <c r="C465" s="2">
        <v>71</v>
      </c>
      <c r="D465" s="2">
        <v>2688</v>
      </c>
      <c r="E465" s="2">
        <v>-5672</v>
      </c>
      <c r="F465" s="2">
        <v>13756</v>
      </c>
      <c r="G465" s="2">
        <v>-220</v>
      </c>
      <c r="H465" s="2">
        <v>524</v>
      </c>
      <c r="I465" s="2">
        <v>-281</v>
      </c>
      <c r="J465">
        <v>1</v>
      </c>
    </row>
    <row r="466" spans="1:10" x14ac:dyDescent="0.35">
      <c r="A466" s="2">
        <v>2</v>
      </c>
      <c r="B466" s="2">
        <v>30.6</v>
      </c>
      <c r="C466" s="2">
        <v>71</v>
      </c>
      <c r="D466" s="2">
        <v>2524</v>
      </c>
      <c r="E466" s="2">
        <v>-5664</v>
      </c>
      <c r="F466" s="2">
        <v>13680</v>
      </c>
      <c r="G466" s="2">
        <v>-239</v>
      </c>
      <c r="H466" s="2">
        <v>383</v>
      </c>
      <c r="I466" s="2">
        <v>-250</v>
      </c>
      <c r="J466">
        <v>1</v>
      </c>
    </row>
    <row r="467" spans="1:10" x14ac:dyDescent="0.35">
      <c r="A467" s="2">
        <v>2</v>
      </c>
      <c r="B467" s="2">
        <v>30.5</v>
      </c>
      <c r="C467" s="2">
        <v>71</v>
      </c>
      <c r="D467" s="2">
        <v>2572</v>
      </c>
      <c r="E467" s="2">
        <v>-5668</v>
      </c>
      <c r="F467" s="2">
        <v>13748</v>
      </c>
      <c r="G467" s="2">
        <v>-169</v>
      </c>
      <c r="H467" s="2">
        <v>255</v>
      </c>
      <c r="I467" s="2">
        <v>-303</v>
      </c>
      <c r="J467">
        <v>1</v>
      </c>
    </row>
    <row r="468" spans="1:10" x14ac:dyDescent="0.35">
      <c r="A468" s="2">
        <v>2</v>
      </c>
      <c r="B468" s="2">
        <v>30.5</v>
      </c>
      <c r="C468" s="2">
        <v>71</v>
      </c>
      <c r="D468" s="2">
        <v>2476</v>
      </c>
      <c r="E468" s="2">
        <v>-5632</v>
      </c>
      <c r="F468" s="2">
        <v>13792</v>
      </c>
      <c r="G468" s="2">
        <v>-299</v>
      </c>
      <c r="H468" s="2">
        <v>371</v>
      </c>
      <c r="I468" s="2">
        <v>-384</v>
      </c>
      <c r="J468">
        <v>1</v>
      </c>
    </row>
    <row r="469" spans="1:10" x14ac:dyDescent="0.35">
      <c r="A469" s="2">
        <v>2</v>
      </c>
      <c r="B469" s="2">
        <v>30.5</v>
      </c>
      <c r="C469" s="2">
        <v>71</v>
      </c>
      <c r="D469" s="2">
        <v>2624</v>
      </c>
      <c r="E469" s="2">
        <v>-5776</v>
      </c>
      <c r="F469" s="2">
        <v>13652</v>
      </c>
      <c r="G469" s="2">
        <v>-216</v>
      </c>
      <c r="H469" s="2">
        <v>420</v>
      </c>
      <c r="I469" s="2">
        <v>-264</v>
      </c>
      <c r="J469">
        <v>1</v>
      </c>
    </row>
    <row r="470" spans="1:10" x14ac:dyDescent="0.35">
      <c r="A470" s="2">
        <v>2</v>
      </c>
      <c r="B470" s="2">
        <v>30.5</v>
      </c>
      <c r="C470" s="2">
        <v>71</v>
      </c>
      <c r="D470" s="2">
        <v>2452</v>
      </c>
      <c r="E470" s="2">
        <v>-5580</v>
      </c>
      <c r="F470" s="2">
        <v>14236</v>
      </c>
      <c r="G470" s="2">
        <v>-329</v>
      </c>
      <c r="H470" s="2">
        <v>756</v>
      </c>
      <c r="I470" s="2">
        <v>-351</v>
      </c>
      <c r="J470">
        <v>1</v>
      </c>
    </row>
    <row r="471" spans="1:10" x14ac:dyDescent="0.35">
      <c r="A471" s="2">
        <v>2</v>
      </c>
      <c r="B471" s="2">
        <v>30.5</v>
      </c>
      <c r="C471" s="2">
        <v>71</v>
      </c>
      <c r="D471" s="2">
        <v>2524</v>
      </c>
      <c r="E471" s="2">
        <v>-5624</v>
      </c>
      <c r="F471" s="2">
        <v>13680</v>
      </c>
      <c r="G471" s="2">
        <v>-210</v>
      </c>
      <c r="H471" s="2">
        <v>324</v>
      </c>
      <c r="I471" s="2">
        <v>-234</v>
      </c>
      <c r="J471">
        <v>1</v>
      </c>
    </row>
    <row r="472" spans="1:10" x14ac:dyDescent="0.35">
      <c r="A472" s="2">
        <v>2</v>
      </c>
      <c r="B472" s="2">
        <v>30.5</v>
      </c>
      <c r="C472" s="2">
        <v>71</v>
      </c>
      <c r="D472" s="2">
        <v>2560</v>
      </c>
      <c r="E472" s="2">
        <v>-5568</v>
      </c>
      <c r="F472" s="2">
        <v>13700</v>
      </c>
      <c r="G472" s="2">
        <v>-194</v>
      </c>
      <c r="H472" s="2">
        <v>264</v>
      </c>
      <c r="I472" s="2">
        <v>-231</v>
      </c>
      <c r="J472">
        <v>1</v>
      </c>
    </row>
    <row r="473" spans="1:10" x14ac:dyDescent="0.35">
      <c r="A473" s="2">
        <v>2</v>
      </c>
      <c r="B473" s="2">
        <v>30.5</v>
      </c>
      <c r="C473" s="2">
        <v>71</v>
      </c>
      <c r="D473" s="2">
        <v>2428</v>
      </c>
      <c r="E473" s="2">
        <v>-5696</v>
      </c>
      <c r="F473" s="2">
        <v>13704</v>
      </c>
      <c r="G473" s="2">
        <v>-171</v>
      </c>
      <c r="H473" s="2">
        <v>365</v>
      </c>
      <c r="I473" s="2">
        <v>-248</v>
      </c>
      <c r="J473">
        <v>1</v>
      </c>
    </row>
    <row r="474" spans="1:10" x14ac:dyDescent="0.35">
      <c r="A474" s="2">
        <v>2</v>
      </c>
      <c r="B474" s="2">
        <v>30.4</v>
      </c>
      <c r="C474" s="2">
        <v>70</v>
      </c>
      <c r="D474" s="2">
        <v>2436</v>
      </c>
      <c r="E474" s="2">
        <v>-5668</v>
      </c>
      <c r="F474" s="2">
        <v>13820</v>
      </c>
      <c r="G474" s="2">
        <v>-240</v>
      </c>
      <c r="H474" s="2">
        <v>447</v>
      </c>
      <c r="I474" s="2">
        <v>-330</v>
      </c>
      <c r="J474">
        <v>1</v>
      </c>
    </row>
    <row r="475" spans="1:10" x14ac:dyDescent="0.35">
      <c r="A475" s="2">
        <v>2</v>
      </c>
      <c r="B475" s="2">
        <v>30.5</v>
      </c>
      <c r="C475" s="2">
        <v>70</v>
      </c>
      <c r="D475" s="2">
        <v>2616</v>
      </c>
      <c r="E475" s="2">
        <v>-5880</v>
      </c>
      <c r="F475" s="2">
        <v>13724</v>
      </c>
      <c r="G475" s="2">
        <v>-292</v>
      </c>
      <c r="H475" s="2">
        <v>367</v>
      </c>
      <c r="I475" s="2">
        <v>-237</v>
      </c>
      <c r="J475">
        <v>1</v>
      </c>
    </row>
    <row r="476" spans="1:10" x14ac:dyDescent="0.35">
      <c r="A476" s="2">
        <v>2</v>
      </c>
      <c r="B476" s="2">
        <v>30.4</v>
      </c>
      <c r="C476" s="2">
        <v>71</v>
      </c>
      <c r="D476" s="2">
        <v>2520</v>
      </c>
      <c r="E476" s="2">
        <v>-5524</v>
      </c>
      <c r="F476" s="2">
        <v>13724</v>
      </c>
      <c r="G476" s="2">
        <v>-213</v>
      </c>
      <c r="H476" s="2">
        <v>315</v>
      </c>
      <c r="I476" s="2">
        <v>-246</v>
      </c>
      <c r="J476">
        <v>1</v>
      </c>
    </row>
    <row r="477" spans="1:10" x14ac:dyDescent="0.35">
      <c r="A477" s="2">
        <v>2</v>
      </c>
      <c r="B477" s="2">
        <v>30.4</v>
      </c>
      <c r="C477" s="2">
        <v>71</v>
      </c>
      <c r="D477" s="2">
        <v>2748</v>
      </c>
      <c r="E477" s="2">
        <v>-5636</v>
      </c>
      <c r="F477" s="2">
        <v>13744</v>
      </c>
      <c r="G477" s="2">
        <v>-254</v>
      </c>
      <c r="H477" s="2">
        <v>500</v>
      </c>
      <c r="I477" s="2">
        <v>-392</v>
      </c>
      <c r="J477">
        <v>1</v>
      </c>
    </row>
    <row r="478" spans="1:10" x14ac:dyDescent="0.35">
      <c r="A478" s="2">
        <v>2</v>
      </c>
      <c r="B478" s="2">
        <v>30.5</v>
      </c>
      <c r="C478" s="2">
        <v>71</v>
      </c>
      <c r="D478" s="2">
        <v>2460</v>
      </c>
      <c r="E478" s="2">
        <v>-5676</v>
      </c>
      <c r="F478" s="2">
        <v>13676</v>
      </c>
      <c r="G478" s="2">
        <v>-198</v>
      </c>
      <c r="H478" s="2">
        <v>329</v>
      </c>
      <c r="I478" s="2">
        <v>-263</v>
      </c>
      <c r="J478">
        <v>1</v>
      </c>
    </row>
    <row r="479" spans="1:10" x14ac:dyDescent="0.35">
      <c r="A479" s="2">
        <v>2</v>
      </c>
      <c r="B479" s="2">
        <v>30.5</v>
      </c>
      <c r="C479" s="2">
        <v>71</v>
      </c>
      <c r="D479" s="2">
        <v>2464</v>
      </c>
      <c r="E479" s="2">
        <v>-5624</v>
      </c>
      <c r="F479" s="2">
        <v>13840</v>
      </c>
      <c r="G479" s="2">
        <v>-283</v>
      </c>
      <c r="H479" s="2">
        <v>469</v>
      </c>
      <c r="I479" s="2">
        <v>-303</v>
      </c>
      <c r="J479">
        <v>1</v>
      </c>
    </row>
    <row r="480" spans="1:10" x14ac:dyDescent="0.35">
      <c r="A480" s="2">
        <v>2</v>
      </c>
      <c r="B480" s="2">
        <v>30.5</v>
      </c>
      <c r="C480" s="2">
        <v>71</v>
      </c>
      <c r="D480" s="2">
        <v>2468</v>
      </c>
      <c r="E480" s="2">
        <v>-5724</v>
      </c>
      <c r="F480" s="2">
        <v>14692</v>
      </c>
      <c r="G480" s="2">
        <v>-281</v>
      </c>
      <c r="H480" s="2">
        <v>383</v>
      </c>
      <c r="I480" s="2">
        <v>-281</v>
      </c>
      <c r="J480">
        <v>1</v>
      </c>
    </row>
    <row r="481" spans="1:10" x14ac:dyDescent="0.35">
      <c r="A481" s="2">
        <v>2</v>
      </c>
      <c r="B481" s="2">
        <v>30.5</v>
      </c>
      <c r="C481" s="2">
        <v>71</v>
      </c>
      <c r="D481" s="2">
        <v>2648</v>
      </c>
      <c r="E481" s="2">
        <v>-5664</v>
      </c>
      <c r="F481" s="2">
        <v>13632</v>
      </c>
      <c r="G481" s="2">
        <v>-190</v>
      </c>
      <c r="H481" s="2">
        <v>300</v>
      </c>
      <c r="I481" s="2">
        <v>-326</v>
      </c>
      <c r="J481">
        <v>1</v>
      </c>
    </row>
    <row r="482" spans="1:10" x14ac:dyDescent="0.35">
      <c r="A482" s="2">
        <v>2</v>
      </c>
      <c r="B482" s="2">
        <v>30.5</v>
      </c>
      <c r="C482" s="2">
        <v>71</v>
      </c>
      <c r="D482" s="2">
        <v>2508</v>
      </c>
      <c r="E482" s="2">
        <v>-5620</v>
      </c>
      <c r="F482" s="2">
        <v>13788</v>
      </c>
      <c r="G482" s="2">
        <v>-207</v>
      </c>
      <c r="H482" s="2">
        <v>290</v>
      </c>
      <c r="I482" s="2">
        <v>-249</v>
      </c>
      <c r="J482">
        <v>1</v>
      </c>
    </row>
    <row r="483" spans="1:10" x14ac:dyDescent="0.35">
      <c r="A483" s="2">
        <v>2</v>
      </c>
      <c r="B483" s="2">
        <v>30.4</v>
      </c>
      <c r="C483" s="2">
        <v>72</v>
      </c>
      <c r="D483" s="2">
        <v>2380</v>
      </c>
      <c r="E483" s="2">
        <v>-5600</v>
      </c>
      <c r="F483" s="2">
        <v>13792</v>
      </c>
      <c r="G483" s="2">
        <v>-204</v>
      </c>
      <c r="H483" s="2">
        <v>292</v>
      </c>
      <c r="I483" s="2">
        <v>-229</v>
      </c>
      <c r="J483">
        <v>1</v>
      </c>
    </row>
    <row r="484" spans="1:10" x14ac:dyDescent="0.35">
      <c r="A484" s="2">
        <v>2</v>
      </c>
      <c r="B484" s="2">
        <v>30.4</v>
      </c>
      <c r="C484" s="2">
        <v>72</v>
      </c>
      <c r="D484" s="2">
        <v>2724</v>
      </c>
      <c r="E484" s="2">
        <v>-5592</v>
      </c>
      <c r="F484" s="2">
        <v>13876</v>
      </c>
      <c r="G484" s="2">
        <v>-195</v>
      </c>
      <c r="H484" s="2">
        <v>307</v>
      </c>
      <c r="I484" s="2">
        <v>-227</v>
      </c>
      <c r="J484">
        <v>1</v>
      </c>
    </row>
    <row r="485" spans="1:10" x14ac:dyDescent="0.35">
      <c r="A485" s="2">
        <v>2</v>
      </c>
      <c r="B485" s="2">
        <v>30.3</v>
      </c>
      <c r="C485" s="2">
        <v>71</v>
      </c>
      <c r="D485" s="2">
        <v>2452</v>
      </c>
      <c r="E485" s="2">
        <v>-5724</v>
      </c>
      <c r="F485" s="2">
        <v>13808</v>
      </c>
      <c r="G485" s="2">
        <v>-247</v>
      </c>
      <c r="H485" s="2">
        <v>415</v>
      </c>
      <c r="I485" s="2">
        <v>-248</v>
      </c>
      <c r="J485">
        <v>1</v>
      </c>
    </row>
    <row r="486" spans="1:10" x14ac:dyDescent="0.35">
      <c r="A486" s="2">
        <v>2</v>
      </c>
      <c r="B486" s="2">
        <v>30.4</v>
      </c>
      <c r="C486" s="2">
        <v>71</v>
      </c>
      <c r="D486" s="2">
        <v>3016</v>
      </c>
      <c r="E486" s="2">
        <v>-5588</v>
      </c>
      <c r="F486" s="2">
        <v>13544</v>
      </c>
      <c r="G486" s="2">
        <v>-248</v>
      </c>
      <c r="H486" s="2">
        <v>282</v>
      </c>
      <c r="I486" s="2">
        <v>-311</v>
      </c>
      <c r="J486">
        <v>1</v>
      </c>
    </row>
    <row r="487" spans="1:10" x14ac:dyDescent="0.35">
      <c r="A487" s="2">
        <v>2</v>
      </c>
      <c r="B487" s="2">
        <v>30.5</v>
      </c>
      <c r="C487" s="2">
        <v>71</v>
      </c>
      <c r="D487" s="2">
        <v>2348</v>
      </c>
      <c r="E487" s="2">
        <v>-5656</v>
      </c>
      <c r="F487" s="2">
        <v>13820</v>
      </c>
      <c r="G487" s="2">
        <v>-292</v>
      </c>
      <c r="H487" s="2">
        <v>-945</v>
      </c>
      <c r="I487" s="2">
        <v>-249</v>
      </c>
      <c r="J487">
        <v>1</v>
      </c>
    </row>
    <row r="488" spans="1:10" x14ac:dyDescent="0.35">
      <c r="A488" s="2">
        <v>2</v>
      </c>
      <c r="B488" s="2">
        <v>30.3</v>
      </c>
      <c r="C488" s="2">
        <v>71</v>
      </c>
      <c r="D488" s="2">
        <v>2560</v>
      </c>
      <c r="E488" s="2">
        <v>-5596</v>
      </c>
      <c r="F488" s="2">
        <v>13668</v>
      </c>
      <c r="G488" s="2">
        <v>-231</v>
      </c>
      <c r="H488" s="2">
        <v>273</v>
      </c>
      <c r="I488" s="2">
        <v>-262</v>
      </c>
      <c r="J488">
        <v>1</v>
      </c>
    </row>
    <row r="489" spans="1:10" x14ac:dyDescent="0.35">
      <c r="A489" s="2">
        <v>2</v>
      </c>
      <c r="B489" s="2">
        <v>30.4</v>
      </c>
      <c r="C489" s="2">
        <v>70</v>
      </c>
      <c r="D489" s="2">
        <v>2580</v>
      </c>
      <c r="E489" s="2">
        <v>-5628</v>
      </c>
      <c r="F489" s="2">
        <v>13652</v>
      </c>
      <c r="G489" s="2">
        <v>-269</v>
      </c>
      <c r="H489" s="2">
        <v>459</v>
      </c>
      <c r="I489" s="2">
        <v>-389</v>
      </c>
      <c r="J489">
        <v>1</v>
      </c>
    </row>
    <row r="490" spans="1:10" x14ac:dyDescent="0.35">
      <c r="A490" s="2">
        <v>2</v>
      </c>
      <c r="B490" s="2">
        <v>30.4</v>
      </c>
      <c r="C490" s="2">
        <v>70</v>
      </c>
      <c r="D490" s="2">
        <v>2524</v>
      </c>
      <c r="E490" s="2">
        <v>-5580</v>
      </c>
      <c r="F490" s="2">
        <v>13648</v>
      </c>
      <c r="G490" s="2">
        <v>-203</v>
      </c>
      <c r="H490" s="2">
        <v>262</v>
      </c>
      <c r="I490" s="2">
        <v>-230</v>
      </c>
      <c r="J490">
        <v>1</v>
      </c>
    </row>
    <row r="491" spans="1:10" x14ac:dyDescent="0.35">
      <c r="A491" s="2">
        <v>2</v>
      </c>
      <c r="B491" s="2">
        <v>30.5</v>
      </c>
      <c r="C491" s="2">
        <v>69</v>
      </c>
      <c r="D491" s="2">
        <v>2564</v>
      </c>
      <c r="E491" s="2">
        <v>-5620</v>
      </c>
      <c r="F491" s="2">
        <v>13680</v>
      </c>
      <c r="G491" s="2">
        <v>-189</v>
      </c>
      <c r="H491" s="2">
        <v>264</v>
      </c>
      <c r="I491" s="2">
        <v>-242</v>
      </c>
      <c r="J491">
        <v>1</v>
      </c>
    </row>
    <row r="492" spans="1:10" x14ac:dyDescent="0.35">
      <c r="A492" s="2">
        <v>2</v>
      </c>
      <c r="B492" s="2">
        <v>30.5</v>
      </c>
      <c r="C492" s="2">
        <v>69</v>
      </c>
      <c r="D492" s="2">
        <v>2500</v>
      </c>
      <c r="E492" s="2">
        <v>-5548</v>
      </c>
      <c r="F492" s="2">
        <v>13640</v>
      </c>
      <c r="G492" s="2">
        <v>-193</v>
      </c>
      <c r="H492" s="2">
        <v>296</v>
      </c>
      <c r="I492" s="2">
        <v>-236</v>
      </c>
      <c r="J492">
        <v>1</v>
      </c>
    </row>
    <row r="493" spans="1:10" x14ac:dyDescent="0.35">
      <c r="A493" s="2">
        <v>2</v>
      </c>
      <c r="B493" s="2">
        <v>30.5</v>
      </c>
      <c r="C493" s="2">
        <v>69</v>
      </c>
      <c r="D493" s="2">
        <v>2524</v>
      </c>
      <c r="E493" s="2">
        <v>-5648</v>
      </c>
      <c r="F493" s="2">
        <v>13744</v>
      </c>
      <c r="G493" s="2">
        <v>-192</v>
      </c>
      <c r="H493" s="2">
        <v>272</v>
      </c>
      <c r="I493" s="2">
        <v>-255</v>
      </c>
      <c r="J493">
        <v>1</v>
      </c>
    </row>
    <row r="494" spans="1:10" x14ac:dyDescent="0.35">
      <c r="A494" s="2">
        <v>2</v>
      </c>
      <c r="B494" s="2">
        <v>30.4</v>
      </c>
      <c r="C494" s="2">
        <v>69</v>
      </c>
      <c r="D494" s="2">
        <v>2560</v>
      </c>
      <c r="E494" s="2">
        <v>-5608</v>
      </c>
      <c r="F494" s="2">
        <v>13680</v>
      </c>
      <c r="G494" s="2">
        <v>-212</v>
      </c>
      <c r="H494" s="2">
        <v>290</v>
      </c>
      <c r="I494" s="2">
        <v>-242</v>
      </c>
      <c r="J494">
        <v>1</v>
      </c>
    </row>
    <row r="495" spans="1:10" x14ac:dyDescent="0.35">
      <c r="A495" s="2">
        <v>2</v>
      </c>
      <c r="B495" s="2">
        <v>30.5</v>
      </c>
      <c r="C495" s="2">
        <v>68</v>
      </c>
      <c r="D495" s="2">
        <v>2512</v>
      </c>
      <c r="E495" s="2">
        <v>-5656</v>
      </c>
      <c r="F495" s="2">
        <v>13688</v>
      </c>
      <c r="G495" s="2">
        <v>-187</v>
      </c>
      <c r="H495" s="2">
        <v>267</v>
      </c>
      <c r="I495" s="2">
        <v>-238</v>
      </c>
      <c r="J495">
        <v>1</v>
      </c>
    </row>
    <row r="496" spans="1:10" x14ac:dyDescent="0.35">
      <c r="A496" s="2">
        <v>2</v>
      </c>
      <c r="B496" s="2">
        <v>30.5</v>
      </c>
      <c r="C496" s="2">
        <v>68</v>
      </c>
      <c r="D496" s="2">
        <v>2440</v>
      </c>
      <c r="E496" s="2">
        <v>-5616</v>
      </c>
      <c r="F496" s="2">
        <v>13776</v>
      </c>
      <c r="G496" s="2">
        <v>-199</v>
      </c>
      <c r="H496" s="2">
        <v>285</v>
      </c>
      <c r="I496" s="2">
        <v>-252</v>
      </c>
      <c r="J496">
        <v>1</v>
      </c>
    </row>
    <row r="497" spans="1:10" x14ac:dyDescent="0.35">
      <c r="A497" s="2">
        <v>2</v>
      </c>
      <c r="B497" s="2">
        <v>30.5</v>
      </c>
      <c r="C497" s="2">
        <v>68</v>
      </c>
      <c r="D497" s="2">
        <v>2576</v>
      </c>
      <c r="E497" s="2">
        <v>-5660</v>
      </c>
      <c r="F497" s="2">
        <v>13740</v>
      </c>
      <c r="G497" s="2">
        <v>-192</v>
      </c>
      <c r="H497" s="2">
        <v>274</v>
      </c>
      <c r="I497" s="2">
        <v>-221</v>
      </c>
      <c r="J497">
        <v>1</v>
      </c>
    </row>
    <row r="498" spans="1:10" x14ac:dyDescent="0.35">
      <c r="A498" s="2">
        <v>2</v>
      </c>
      <c r="B498" s="2">
        <v>30.4</v>
      </c>
      <c r="C498" s="2">
        <v>68</v>
      </c>
      <c r="D498" s="2">
        <v>2492</v>
      </c>
      <c r="E498" s="2">
        <v>-5660</v>
      </c>
      <c r="F498" s="2">
        <v>13756</v>
      </c>
      <c r="G498" s="2">
        <v>-190</v>
      </c>
      <c r="H498" s="2">
        <v>268</v>
      </c>
      <c r="I498" s="2">
        <v>-240</v>
      </c>
      <c r="J498">
        <v>1</v>
      </c>
    </row>
    <row r="499" spans="1:10" x14ac:dyDescent="0.35">
      <c r="A499" s="2">
        <v>2</v>
      </c>
      <c r="B499" s="2">
        <v>30.4</v>
      </c>
      <c r="C499" s="2">
        <v>68</v>
      </c>
      <c r="D499" s="2">
        <v>2432</v>
      </c>
      <c r="E499" s="2">
        <v>-5604</v>
      </c>
      <c r="F499" s="2">
        <v>13728</v>
      </c>
      <c r="G499" s="2">
        <v>-188</v>
      </c>
      <c r="H499" s="2">
        <v>265</v>
      </c>
      <c r="I499" s="2">
        <v>-232</v>
      </c>
      <c r="J499">
        <v>1</v>
      </c>
    </row>
    <row r="500" spans="1:10" x14ac:dyDescent="0.35">
      <c r="A500" s="2">
        <v>2</v>
      </c>
      <c r="B500" s="2">
        <v>30.5</v>
      </c>
      <c r="C500" s="2">
        <v>68</v>
      </c>
      <c r="D500" s="2">
        <v>2424</v>
      </c>
      <c r="E500" s="2">
        <v>-5628</v>
      </c>
      <c r="F500" s="2">
        <v>13604</v>
      </c>
      <c r="G500" s="2">
        <v>-191</v>
      </c>
      <c r="H500" s="2">
        <v>270</v>
      </c>
      <c r="I500" s="2">
        <v>-258</v>
      </c>
      <c r="J500">
        <v>1</v>
      </c>
    </row>
    <row r="501" spans="1:10" x14ac:dyDescent="0.35">
      <c r="A501" s="2">
        <v>2</v>
      </c>
      <c r="B501" s="2">
        <v>30.4</v>
      </c>
      <c r="C501" s="2">
        <v>69</v>
      </c>
      <c r="D501" s="2">
        <v>2432</v>
      </c>
      <c r="E501" s="2">
        <v>-5696</v>
      </c>
      <c r="F501" s="2">
        <v>13796</v>
      </c>
      <c r="G501" s="2">
        <v>-195</v>
      </c>
      <c r="H501" s="2">
        <v>266</v>
      </c>
      <c r="I501" s="2">
        <v>-253</v>
      </c>
      <c r="J501">
        <v>1</v>
      </c>
    </row>
    <row r="502" spans="1:10" x14ac:dyDescent="0.35">
      <c r="A502" s="2">
        <v>2</v>
      </c>
      <c r="B502" s="2">
        <v>30.4</v>
      </c>
      <c r="C502" s="2">
        <v>69</v>
      </c>
      <c r="D502" s="2">
        <v>2500</v>
      </c>
      <c r="E502" s="2">
        <v>-5600</v>
      </c>
      <c r="F502" s="2">
        <v>13668</v>
      </c>
      <c r="G502" s="2">
        <v>-188</v>
      </c>
      <c r="H502" s="2">
        <v>289</v>
      </c>
      <c r="I502" s="2">
        <v>-259</v>
      </c>
      <c r="J502">
        <v>1</v>
      </c>
    </row>
    <row r="503" spans="1:10" x14ac:dyDescent="0.35">
      <c r="A503" s="2">
        <v>2</v>
      </c>
      <c r="B503" s="2">
        <v>30.4</v>
      </c>
      <c r="C503" s="2">
        <v>69</v>
      </c>
      <c r="D503" s="2">
        <v>2572</v>
      </c>
      <c r="E503" s="2">
        <v>-5608</v>
      </c>
      <c r="F503" s="2">
        <v>13712</v>
      </c>
      <c r="G503" s="2">
        <v>-194</v>
      </c>
      <c r="H503" s="2">
        <v>279</v>
      </c>
      <c r="I503" s="2">
        <v>-249</v>
      </c>
      <c r="J503">
        <v>1</v>
      </c>
    </row>
    <row r="504" spans="1:10" x14ac:dyDescent="0.35">
      <c r="A504" s="2">
        <v>2</v>
      </c>
      <c r="B504" s="2">
        <v>30.4</v>
      </c>
      <c r="C504" s="2">
        <v>69</v>
      </c>
      <c r="D504" s="2">
        <v>2560</v>
      </c>
      <c r="E504" s="2">
        <v>-5580</v>
      </c>
      <c r="F504" s="2">
        <v>13656</v>
      </c>
      <c r="G504" s="2">
        <v>-188</v>
      </c>
      <c r="H504" s="2">
        <v>265</v>
      </c>
      <c r="I504" s="2">
        <v>-211</v>
      </c>
      <c r="J504">
        <v>1</v>
      </c>
    </row>
    <row r="505" spans="1:10" x14ac:dyDescent="0.35">
      <c r="A505" s="2">
        <v>2</v>
      </c>
      <c r="B505" s="2">
        <v>30.4</v>
      </c>
      <c r="C505" s="2">
        <v>69</v>
      </c>
      <c r="D505" s="2">
        <v>2420</v>
      </c>
      <c r="E505" s="2">
        <v>-5640</v>
      </c>
      <c r="F505" s="2">
        <v>13716</v>
      </c>
      <c r="G505" s="2">
        <v>-198</v>
      </c>
      <c r="H505" s="2">
        <v>267</v>
      </c>
      <c r="I505" s="2">
        <v>-236</v>
      </c>
      <c r="J505">
        <v>1</v>
      </c>
    </row>
    <row r="506" spans="1:10" x14ac:dyDescent="0.35">
      <c r="A506" s="2">
        <v>2</v>
      </c>
      <c r="B506" s="2">
        <v>30.4</v>
      </c>
      <c r="C506" s="2">
        <v>69</v>
      </c>
      <c r="D506" s="2">
        <v>2544</v>
      </c>
      <c r="E506" s="2">
        <v>-5628</v>
      </c>
      <c r="F506" s="2">
        <v>13716</v>
      </c>
      <c r="G506" s="2">
        <v>-191</v>
      </c>
      <c r="H506" s="2">
        <v>276</v>
      </c>
      <c r="I506" s="2">
        <v>-241</v>
      </c>
      <c r="J506">
        <v>1</v>
      </c>
    </row>
    <row r="507" spans="1:10" x14ac:dyDescent="0.35">
      <c r="A507" s="2">
        <v>2</v>
      </c>
      <c r="B507" s="2">
        <v>30.4</v>
      </c>
      <c r="C507" s="2">
        <v>69</v>
      </c>
      <c r="D507" s="2">
        <v>2528</v>
      </c>
      <c r="E507" s="2">
        <v>-5620</v>
      </c>
      <c r="F507" s="2">
        <v>13780</v>
      </c>
      <c r="G507" s="2">
        <v>-190</v>
      </c>
      <c r="H507" s="2">
        <v>268</v>
      </c>
      <c r="I507" s="2">
        <v>-256</v>
      </c>
      <c r="J507">
        <v>1</v>
      </c>
    </row>
    <row r="508" spans="1:10" x14ac:dyDescent="0.35">
      <c r="A508" s="2">
        <v>2</v>
      </c>
      <c r="B508" s="2">
        <v>30.3</v>
      </c>
      <c r="C508" s="2">
        <v>68</v>
      </c>
      <c r="D508" s="2">
        <v>2524</v>
      </c>
      <c r="E508" s="2">
        <v>-5636</v>
      </c>
      <c r="F508" s="2">
        <v>13848</v>
      </c>
      <c r="G508" s="2">
        <v>-194</v>
      </c>
      <c r="H508" s="2">
        <v>281</v>
      </c>
      <c r="I508" s="2">
        <v>-236</v>
      </c>
      <c r="J508">
        <v>1</v>
      </c>
    </row>
    <row r="509" spans="1:10" x14ac:dyDescent="0.35">
      <c r="A509" s="2">
        <v>2</v>
      </c>
      <c r="B509" s="2">
        <v>30.5</v>
      </c>
      <c r="C509" s="2">
        <v>68</v>
      </c>
      <c r="D509" s="2">
        <v>2532</v>
      </c>
      <c r="E509" s="2">
        <v>-5568</v>
      </c>
      <c r="F509" s="2">
        <v>13732</v>
      </c>
      <c r="G509" s="2">
        <v>-189</v>
      </c>
      <c r="H509" s="2">
        <v>268</v>
      </c>
      <c r="I509" s="2">
        <v>-234</v>
      </c>
      <c r="J509">
        <v>1</v>
      </c>
    </row>
    <row r="510" spans="1:10" x14ac:dyDescent="0.35">
      <c r="A510" s="2">
        <v>2</v>
      </c>
      <c r="B510" s="2">
        <v>30.4</v>
      </c>
      <c r="C510" s="2">
        <v>68</v>
      </c>
      <c r="D510" s="2">
        <v>2448</v>
      </c>
      <c r="E510" s="2">
        <v>-5564</v>
      </c>
      <c r="F510" s="2">
        <v>13684</v>
      </c>
      <c r="G510" s="2">
        <v>-194</v>
      </c>
      <c r="H510" s="2">
        <v>282</v>
      </c>
      <c r="I510" s="2">
        <v>-239</v>
      </c>
      <c r="J510">
        <v>1</v>
      </c>
    </row>
    <row r="511" spans="1:10" x14ac:dyDescent="0.35">
      <c r="A511" s="2">
        <v>2</v>
      </c>
      <c r="B511" s="2">
        <v>30.4</v>
      </c>
      <c r="C511" s="2">
        <v>68</v>
      </c>
      <c r="D511" s="2">
        <v>2508</v>
      </c>
      <c r="E511" s="2">
        <v>-5600</v>
      </c>
      <c r="F511" s="2">
        <v>13644</v>
      </c>
      <c r="G511" s="2">
        <v>-197</v>
      </c>
      <c r="H511" s="2">
        <v>271</v>
      </c>
      <c r="I511" s="2">
        <v>-234</v>
      </c>
      <c r="J511">
        <v>1</v>
      </c>
    </row>
    <row r="512" spans="1:10" x14ac:dyDescent="0.35">
      <c r="A512" s="2">
        <v>2</v>
      </c>
      <c r="B512" s="2">
        <v>30.4</v>
      </c>
      <c r="C512" s="2">
        <v>68</v>
      </c>
      <c r="D512" s="2">
        <v>2428</v>
      </c>
      <c r="E512" s="2">
        <v>-5740</v>
      </c>
      <c r="F512" s="2">
        <v>13760</v>
      </c>
      <c r="G512" s="2">
        <v>-278</v>
      </c>
      <c r="H512" s="2">
        <v>-606</v>
      </c>
      <c r="I512" s="2">
        <v>373</v>
      </c>
      <c r="J512">
        <v>1</v>
      </c>
    </row>
    <row r="513" spans="1:10" x14ac:dyDescent="0.35">
      <c r="A513" s="2">
        <v>2</v>
      </c>
      <c r="B513" s="2">
        <v>30.4</v>
      </c>
      <c r="C513" s="2">
        <v>68</v>
      </c>
      <c r="D513" s="2">
        <v>2728</v>
      </c>
      <c r="E513" s="2">
        <v>-5852</v>
      </c>
      <c r="F513" s="2">
        <v>13908</v>
      </c>
      <c r="G513" s="2">
        <v>-933</v>
      </c>
      <c r="H513" s="2">
        <v>355</v>
      </c>
      <c r="I513" s="2">
        <v>-525</v>
      </c>
      <c r="J513">
        <v>1</v>
      </c>
    </row>
    <row r="514" spans="1:10" x14ac:dyDescent="0.35">
      <c r="A514" s="2">
        <v>2</v>
      </c>
      <c r="B514" s="2">
        <v>30.4</v>
      </c>
      <c r="C514" s="2">
        <v>68</v>
      </c>
      <c r="D514" s="2">
        <v>2604</v>
      </c>
      <c r="E514" s="2">
        <v>-5612</v>
      </c>
      <c r="F514" s="2">
        <v>13660</v>
      </c>
      <c r="G514" s="2">
        <v>-200</v>
      </c>
      <c r="H514" s="2">
        <v>295</v>
      </c>
      <c r="I514" s="2">
        <v>-254</v>
      </c>
      <c r="J514">
        <v>1</v>
      </c>
    </row>
    <row r="515" spans="1:10" x14ac:dyDescent="0.35">
      <c r="A515" s="2">
        <v>2</v>
      </c>
      <c r="B515" s="2">
        <v>30.4</v>
      </c>
      <c r="C515" s="2">
        <v>68</v>
      </c>
      <c r="D515" s="2">
        <v>2468</v>
      </c>
      <c r="E515" s="2">
        <v>-5556</v>
      </c>
      <c r="F515" s="2">
        <v>13768</v>
      </c>
      <c r="G515" s="2">
        <v>-200</v>
      </c>
      <c r="H515" s="2">
        <v>270</v>
      </c>
      <c r="I515" s="2">
        <v>-256</v>
      </c>
      <c r="J515">
        <v>1</v>
      </c>
    </row>
    <row r="516" spans="1:10" x14ac:dyDescent="0.35">
      <c r="A516" s="2">
        <v>2</v>
      </c>
      <c r="B516" s="2">
        <v>30.3</v>
      </c>
      <c r="C516" s="2">
        <v>69</v>
      </c>
      <c r="D516" s="2">
        <v>2588</v>
      </c>
      <c r="E516" s="2">
        <v>-5616</v>
      </c>
      <c r="F516" s="2">
        <v>13760</v>
      </c>
      <c r="G516" s="2">
        <v>-223</v>
      </c>
      <c r="H516" s="2">
        <v>279</v>
      </c>
      <c r="I516" s="2">
        <v>-253</v>
      </c>
      <c r="J516">
        <v>1</v>
      </c>
    </row>
    <row r="517" spans="1:10" x14ac:dyDescent="0.35">
      <c r="A517" s="2">
        <v>2</v>
      </c>
      <c r="B517" s="2">
        <v>30.4</v>
      </c>
      <c r="C517" s="2">
        <v>69</v>
      </c>
      <c r="D517" s="2">
        <v>2536</v>
      </c>
      <c r="E517" s="2">
        <v>-5696</v>
      </c>
      <c r="F517" s="2">
        <v>13592</v>
      </c>
      <c r="G517" s="2">
        <v>-233</v>
      </c>
      <c r="H517" s="2">
        <v>363</v>
      </c>
      <c r="I517" s="2">
        <v>-230</v>
      </c>
      <c r="J517">
        <v>1</v>
      </c>
    </row>
    <row r="518" spans="1:10" x14ac:dyDescent="0.35">
      <c r="A518" s="2">
        <v>2</v>
      </c>
      <c r="B518" s="2">
        <v>30.4</v>
      </c>
      <c r="C518" s="2">
        <v>70</v>
      </c>
      <c r="D518" s="2">
        <v>2500</v>
      </c>
      <c r="E518" s="2">
        <v>-5580</v>
      </c>
      <c r="F518" s="2">
        <v>13684</v>
      </c>
      <c r="G518" s="2">
        <v>-205</v>
      </c>
      <c r="H518" s="2">
        <v>314</v>
      </c>
      <c r="I518" s="2">
        <v>-249</v>
      </c>
      <c r="J518">
        <v>1</v>
      </c>
    </row>
    <row r="519" spans="1:10" x14ac:dyDescent="0.35">
      <c r="A519" s="2">
        <v>2</v>
      </c>
      <c r="B519" s="2">
        <v>30.4</v>
      </c>
      <c r="C519" s="2">
        <v>69</v>
      </c>
      <c r="D519" s="2">
        <v>2464</v>
      </c>
      <c r="E519" s="2">
        <v>-5748</v>
      </c>
      <c r="F519" s="2">
        <v>13652</v>
      </c>
      <c r="G519" s="2">
        <v>-211</v>
      </c>
      <c r="H519" s="2">
        <v>274</v>
      </c>
      <c r="I519" s="2">
        <v>-241</v>
      </c>
      <c r="J519">
        <v>1</v>
      </c>
    </row>
    <row r="520" spans="1:10" x14ac:dyDescent="0.35">
      <c r="A520" s="2">
        <v>2</v>
      </c>
      <c r="B520" s="2">
        <v>30.3</v>
      </c>
      <c r="C520" s="2">
        <v>69</v>
      </c>
      <c r="D520" s="2">
        <v>2452</v>
      </c>
      <c r="E520" s="2">
        <v>-5672</v>
      </c>
      <c r="F520" s="2">
        <v>13732</v>
      </c>
      <c r="G520" s="2">
        <v>-247</v>
      </c>
      <c r="H520" s="2">
        <v>433</v>
      </c>
      <c r="I520" s="2">
        <v>-357</v>
      </c>
      <c r="J520">
        <v>1</v>
      </c>
    </row>
    <row r="521" spans="1:10" x14ac:dyDescent="0.35">
      <c r="A521" s="2">
        <v>3</v>
      </c>
      <c r="B521" s="2">
        <v>29.6</v>
      </c>
      <c r="C521" s="2">
        <v>75</v>
      </c>
      <c r="D521" s="2">
        <v>13688</v>
      </c>
      <c r="E521" s="2">
        <v>-3728</v>
      </c>
      <c r="F521" s="2">
        <v>7712</v>
      </c>
      <c r="G521" s="2">
        <v>-197</v>
      </c>
      <c r="H521" s="2">
        <v>505</v>
      </c>
      <c r="I521" s="2">
        <v>-240</v>
      </c>
      <c r="J521">
        <v>1</v>
      </c>
    </row>
    <row r="522" spans="1:10" x14ac:dyDescent="0.35">
      <c r="A522" s="2">
        <v>3</v>
      </c>
      <c r="B522" s="2">
        <v>29.6</v>
      </c>
      <c r="C522" s="2">
        <v>74</v>
      </c>
      <c r="D522" s="2">
        <v>13600</v>
      </c>
      <c r="E522" s="2">
        <v>-3636</v>
      </c>
      <c r="F522" s="2">
        <v>7532</v>
      </c>
      <c r="G522" s="2">
        <v>-217</v>
      </c>
      <c r="H522" s="2">
        <v>338</v>
      </c>
      <c r="I522" s="2">
        <v>-243</v>
      </c>
      <c r="J522">
        <v>1</v>
      </c>
    </row>
    <row r="523" spans="1:10" x14ac:dyDescent="0.35">
      <c r="A523" s="2">
        <v>3</v>
      </c>
      <c r="B523" s="2">
        <v>29.7</v>
      </c>
      <c r="C523" s="2">
        <v>74</v>
      </c>
      <c r="D523" s="2">
        <v>13628</v>
      </c>
      <c r="E523" s="2">
        <v>-3668</v>
      </c>
      <c r="F523" s="2">
        <v>7564</v>
      </c>
      <c r="G523" s="2">
        <v>-241</v>
      </c>
      <c r="H523" s="2">
        <v>293</v>
      </c>
      <c r="I523" s="2">
        <v>-305</v>
      </c>
      <c r="J523">
        <v>1</v>
      </c>
    </row>
    <row r="524" spans="1:10" x14ac:dyDescent="0.35">
      <c r="A524" s="2">
        <v>3</v>
      </c>
      <c r="B524" s="2">
        <v>29.8</v>
      </c>
      <c r="C524" s="2">
        <v>74</v>
      </c>
      <c r="D524" s="2">
        <v>13652</v>
      </c>
      <c r="E524" s="2">
        <v>-3660</v>
      </c>
      <c r="F524" s="2">
        <v>7512</v>
      </c>
      <c r="G524" s="2">
        <v>-230</v>
      </c>
      <c r="H524" s="2">
        <v>315</v>
      </c>
      <c r="I524" s="2">
        <v>-263</v>
      </c>
      <c r="J524">
        <v>1</v>
      </c>
    </row>
    <row r="525" spans="1:10" x14ac:dyDescent="0.35">
      <c r="A525" s="2">
        <v>3</v>
      </c>
      <c r="B525" s="2">
        <v>29.8</v>
      </c>
      <c r="C525" s="2">
        <v>74</v>
      </c>
      <c r="D525" s="2">
        <v>14264</v>
      </c>
      <c r="E525" s="2">
        <v>-3760</v>
      </c>
      <c r="F525" s="2">
        <v>-8804</v>
      </c>
      <c r="G525" s="2">
        <v>-3555</v>
      </c>
      <c r="H525" s="2">
        <v>-10240</v>
      </c>
      <c r="I525" s="2">
        <v>-9043</v>
      </c>
      <c r="J525">
        <v>1</v>
      </c>
    </row>
    <row r="526" spans="1:10" x14ac:dyDescent="0.35">
      <c r="A526" s="2">
        <v>3</v>
      </c>
      <c r="B526" s="2">
        <v>29.8</v>
      </c>
      <c r="C526" s="2">
        <v>73</v>
      </c>
      <c r="D526" s="2">
        <v>15356</v>
      </c>
      <c r="E526" s="2">
        <v>-4532</v>
      </c>
      <c r="F526" s="2">
        <v>14292</v>
      </c>
      <c r="G526" s="2">
        <v>-7006</v>
      </c>
      <c r="H526" s="2">
        <v>14603</v>
      </c>
      <c r="I526" s="2">
        <v>2814</v>
      </c>
      <c r="J526">
        <v>1</v>
      </c>
    </row>
    <row r="527" spans="1:10" x14ac:dyDescent="0.35">
      <c r="A527" s="2">
        <v>3</v>
      </c>
      <c r="B527" s="2">
        <v>29.8</v>
      </c>
      <c r="C527" s="2">
        <v>73</v>
      </c>
      <c r="D527" s="2">
        <v>17084</v>
      </c>
      <c r="E527" s="2">
        <v>-5480</v>
      </c>
      <c r="F527" s="2">
        <v>13972</v>
      </c>
      <c r="G527" s="2">
        <v>-7022</v>
      </c>
      <c r="H527" s="2">
        <v>32614</v>
      </c>
      <c r="I527" s="2">
        <v>-4543</v>
      </c>
      <c r="J527">
        <v>1</v>
      </c>
    </row>
    <row r="528" spans="1:10" x14ac:dyDescent="0.35">
      <c r="A528" s="2">
        <v>3</v>
      </c>
      <c r="B528" s="2">
        <v>29.8</v>
      </c>
      <c r="C528" s="2">
        <v>73</v>
      </c>
      <c r="D528" s="2">
        <v>12700</v>
      </c>
      <c r="E528" s="2">
        <v>-4984</v>
      </c>
      <c r="F528" s="2">
        <v>12484</v>
      </c>
      <c r="G528" s="2">
        <v>-11803</v>
      </c>
      <c r="H528" s="2">
        <v>31655</v>
      </c>
      <c r="I528" s="2">
        <v>-22204</v>
      </c>
      <c r="J528">
        <v>1</v>
      </c>
    </row>
    <row r="529" spans="1:10" x14ac:dyDescent="0.35">
      <c r="A529" s="2">
        <v>3</v>
      </c>
      <c r="B529" s="2">
        <v>29.9</v>
      </c>
      <c r="C529" s="2">
        <v>72</v>
      </c>
      <c r="D529" s="2">
        <v>17168</v>
      </c>
      <c r="E529" s="2">
        <v>-8720</v>
      </c>
      <c r="F529" s="2">
        <v>11364</v>
      </c>
      <c r="G529" s="2">
        <v>-11068</v>
      </c>
      <c r="H529" s="2">
        <v>22837</v>
      </c>
      <c r="I529" s="2">
        <v>11912</v>
      </c>
      <c r="J529">
        <v>0</v>
      </c>
    </row>
    <row r="530" spans="1:10" x14ac:dyDescent="0.35">
      <c r="A530" s="2">
        <v>3</v>
      </c>
      <c r="B530" s="2">
        <v>29.9</v>
      </c>
      <c r="C530" s="2">
        <v>72</v>
      </c>
      <c r="D530" s="2">
        <v>6356</v>
      </c>
      <c r="E530" s="2">
        <v>-14568</v>
      </c>
      <c r="F530" s="2">
        <v>12776</v>
      </c>
      <c r="G530" s="2">
        <v>10549</v>
      </c>
      <c r="H530" s="2">
        <v>-5328</v>
      </c>
      <c r="I530" s="2">
        <v>-9989</v>
      </c>
      <c r="J530">
        <v>1</v>
      </c>
    </row>
    <row r="531" spans="1:10" x14ac:dyDescent="0.35">
      <c r="A531" s="2">
        <v>3</v>
      </c>
      <c r="B531" s="2">
        <v>30</v>
      </c>
      <c r="C531" s="2">
        <v>72</v>
      </c>
      <c r="D531" s="2">
        <v>-6724</v>
      </c>
      <c r="E531" s="2">
        <v>6624</v>
      </c>
      <c r="F531" s="2">
        <v>13016</v>
      </c>
      <c r="G531" s="2">
        <v>-8573</v>
      </c>
      <c r="H531" s="2">
        <v>-13956</v>
      </c>
      <c r="I531" s="2">
        <v>-5619</v>
      </c>
      <c r="J531">
        <v>1</v>
      </c>
    </row>
    <row r="532" spans="1:10" x14ac:dyDescent="0.35">
      <c r="A532" s="2">
        <v>3</v>
      </c>
      <c r="B532" s="2">
        <v>29.9</v>
      </c>
      <c r="C532" s="2">
        <v>72</v>
      </c>
      <c r="D532" s="2">
        <v>13568</v>
      </c>
      <c r="E532" s="2">
        <v>11216</v>
      </c>
      <c r="F532" s="2">
        <v>14244</v>
      </c>
      <c r="G532" s="2">
        <v>-9463</v>
      </c>
      <c r="H532" s="2">
        <v>-21952</v>
      </c>
      <c r="I532" s="2">
        <v>-21572</v>
      </c>
      <c r="J532">
        <v>1</v>
      </c>
    </row>
    <row r="533" spans="1:10" x14ac:dyDescent="0.35">
      <c r="A533" s="2">
        <v>4</v>
      </c>
      <c r="B533" s="2">
        <v>30</v>
      </c>
      <c r="C533" s="2">
        <v>70</v>
      </c>
      <c r="D533" s="2">
        <v>9364</v>
      </c>
      <c r="E533" s="2">
        <v>-4120</v>
      </c>
      <c r="F533" s="2">
        <v>13500</v>
      </c>
      <c r="G533" s="2">
        <v>-1836</v>
      </c>
      <c r="H533" s="2">
        <v>4251</v>
      </c>
      <c r="I533" s="2">
        <v>-457</v>
      </c>
      <c r="J533">
        <v>1</v>
      </c>
    </row>
    <row r="534" spans="1:10" x14ac:dyDescent="0.35">
      <c r="A534" s="2">
        <v>4</v>
      </c>
      <c r="B534" s="2">
        <v>29.8</v>
      </c>
      <c r="C534" s="2">
        <v>74</v>
      </c>
      <c r="D534" s="2">
        <v>7036</v>
      </c>
      <c r="E534" s="2">
        <v>-2904</v>
      </c>
      <c r="F534" s="2">
        <v>13140</v>
      </c>
      <c r="G534" s="2">
        <v>-201</v>
      </c>
      <c r="H534" s="2">
        <v>398</v>
      </c>
      <c r="I534" s="2">
        <v>-322</v>
      </c>
      <c r="J534">
        <v>1</v>
      </c>
    </row>
    <row r="535" spans="1:10" x14ac:dyDescent="0.35">
      <c r="A535" s="2">
        <v>4</v>
      </c>
      <c r="B535" s="2">
        <v>29.9</v>
      </c>
      <c r="C535" s="2">
        <v>70</v>
      </c>
      <c r="D535" s="2">
        <v>6964</v>
      </c>
      <c r="E535" s="2">
        <v>-2928</v>
      </c>
      <c r="F535" s="2">
        <v>13152</v>
      </c>
      <c r="G535" s="2">
        <v>-190</v>
      </c>
      <c r="H535" s="2">
        <v>267</v>
      </c>
      <c r="I535" s="2">
        <v>-237</v>
      </c>
      <c r="J535">
        <v>0</v>
      </c>
    </row>
    <row r="536" spans="1:10" x14ac:dyDescent="0.35">
      <c r="A536" s="2">
        <v>4</v>
      </c>
      <c r="B536" s="2">
        <v>29.9</v>
      </c>
      <c r="C536" s="2">
        <v>70</v>
      </c>
      <c r="D536" s="2">
        <v>6936</v>
      </c>
      <c r="E536" s="2">
        <v>-2988</v>
      </c>
      <c r="F536" s="2">
        <v>13192</v>
      </c>
      <c r="G536" s="2">
        <v>-188</v>
      </c>
      <c r="H536" s="2">
        <v>256</v>
      </c>
      <c r="I536" s="2">
        <v>-243</v>
      </c>
      <c r="J536">
        <v>0</v>
      </c>
    </row>
    <row r="537" spans="1:10" x14ac:dyDescent="0.35">
      <c r="A537" s="2">
        <v>4</v>
      </c>
      <c r="B537" s="2">
        <v>30</v>
      </c>
      <c r="C537" s="2">
        <v>70</v>
      </c>
      <c r="D537" s="2">
        <v>6988</v>
      </c>
      <c r="E537" s="2">
        <v>-2968</v>
      </c>
      <c r="F537" s="2">
        <v>13124</v>
      </c>
      <c r="G537" s="2">
        <v>-208</v>
      </c>
      <c r="H537" s="2">
        <v>253</v>
      </c>
      <c r="I537" s="2">
        <v>-246</v>
      </c>
      <c r="J537">
        <v>1</v>
      </c>
    </row>
    <row r="538" spans="1:10" x14ac:dyDescent="0.35">
      <c r="A538" s="2">
        <v>4</v>
      </c>
      <c r="B538" s="2">
        <v>30</v>
      </c>
      <c r="C538" s="2">
        <v>70</v>
      </c>
      <c r="D538" s="2">
        <v>7084</v>
      </c>
      <c r="E538" s="2">
        <v>-2932</v>
      </c>
      <c r="F538" s="2">
        <v>12980</v>
      </c>
      <c r="G538" s="2">
        <v>-199</v>
      </c>
      <c r="H538" s="2">
        <v>276</v>
      </c>
      <c r="I538" s="2">
        <v>-235</v>
      </c>
      <c r="J538">
        <v>1</v>
      </c>
    </row>
    <row r="539" spans="1:10" x14ac:dyDescent="0.35">
      <c r="A539" s="2">
        <v>4</v>
      </c>
      <c r="B539" s="2">
        <v>30</v>
      </c>
      <c r="C539" s="2">
        <v>70</v>
      </c>
      <c r="D539" s="2">
        <v>6960</v>
      </c>
      <c r="E539" s="2">
        <v>-2904</v>
      </c>
      <c r="F539" s="2">
        <v>13132</v>
      </c>
      <c r="G539" s="2">
        <v>-190</v>
      </c>
      <c r="H539" s="2">
        <v>276</v>
      </c>
      <c r="I539" s="2">
        <v>-235</v>
      </c>
      <c r="J539">
        <v>1</v>
      </c>
    </row>
    <row r="540" spans="1:10" x14ac:dyDescent="0.35">
      <c r="A540" s="2">
        <v>4</v>
      </c>
      <c r="B540" s="2">
        <v>30</v>
      </c>
      <c r="C540" s="2">
        <v>70</v>
      </c>
      <c r="D540" s="2">
        <v>7024</v>
      </c>
      <c r="E540" s="2">
        <v>-2892</v>
      </c>
      <c r="F540" s="2">
        <v>13156</v>
      </c>
      <c r="G540" s="2">
        <v>-205</v>
      </c>
      <c r="H540" s="2">
        <v>271</v>
      </c>
      <c r="I540" s="2">
        <v>-226</v>
      </c>
      <c r="J540">
        <v>1</v>
      </c>
    </row>
    <row r="541" spans="1:10" x14ac:dyDescent="0.35">
      <c r="A541" s="2">
        <v>4</v>
      </c>
      <c r="B541" s="2">
        <v>30</v>
      </c>
      <c r="C541" s="2">
        <v>70</v>
      </c>
      <c r="D541" s="2">
        <v>7092</v>
      </c>
      <c r="E541" s="2">
        <v>-2880</v>
      </c>
      <c r="F541" s="2">
        <v>13204</v>
      </c>
      <c r="G541" s="2">
        <v>-213</v>
      </c>
      <c r="H541" s="2">
        <v>259</v>
      </c>
      <c r="I541" s="2">
        <v>-248</v>
      </c>
      <c r="J541">
        <v>0</v>
      </c>
    </row>
    <row r="542" spans="1:10" x14ac:dyDescent="0.35">
      <c r="A542" s="2">
        <v>4</v>
      </c>
      <c r="B542" s="2">
        <v>30</v>
      </c>
      <c r="C542" s="2">
        <v>70</v>
      </c>
      <c r="D542" s="2">
        <v>7048</v>
      </c>
      <c r="E542" s="2">
        <v>-2884</v>
      </c>
      <c r="F542" s="2">
        <v>13076</v>
      </c>
      <c r="G542" s="2">
        <v>-200</v>
      </c>
      <c r="H542" s="2">
        <v>259</v>
      </c>
      <c r="I542" s="2">
        <v>-257</v>
      </c>
      <c r="J542">
        <v>1</v>
      </c>
    </row>
    <row r="543" spans="1:10" x14ac:dyDescent="0.35">
      <c r="A543" s="2">
        <v>4</v>
      </c>
      <c r="B543" s="2">
        <v>30</v>
      </c>
      <c r="C543" s="2">
        <v>70</v>
      </c>
      <c r="D543" s="2">
        <v>6956</v>
      </c>
      <c r="E543" s="2">
        <v>-2848</v>
      </c>
      <c r="F543" s="2">
        <v>13508</v>
      </c>
      <c r="G543" s="2">
        <v>-239</v>
      </c>
      <c r="H543" s="2">
        <v>275</v>
      </c>
      <c r="I543" s="2">
        <v>-226</v>
      </c>
      <c r="J543">
        <v>1</v>
      </c>
    </row>
    <row r="544" spans="1:10" x14ac:dyDescent="0.35">
      <c r="A544" s="2">
        <v>4</v>
      </c>
      <c r="B544" s="2">
        <v>30.1</v>
      </c>
      <c r="C544" s="2">
        <v>70</v>
      </c>
      <c r="D544" s="2">
        <v>7036</v>
      </c>
      <c r="E544" s="2">
        <v>-2900</v>
      </c>
      <c r="F544" s="2">
        <v>13128</v>
      </c>
      <c r="G544" s="2">
        <v>-220</v>
      </c>
      <c r="H544" s="2">
        <v>272</v>
      </c>
      <c r="I544" s="2">
        <v>-228</v>
      </c>
      <c r="J544">
        <v>1</v>
      </c>
    </row>
    <row r="545" spans="1:10" x14ac:dyDescent="0.35">
      <c r="A545" s="2">
        <v>4</v>
      </c>
      <c r="B545" s="2">
        <v>30</v>
      </c>
      <c r="C545" s="2">
        <v>70</v>
      </c>
      <c r="D545" s="2">
        <v>7000</v>
      </c>
      <c r="E545" s="2">
        <v>-2932</v>
      </c>
      <c r="F545" s="2">
        <v>13176</v>
      </c>
      <c r="G545" s="2">
        <v>-192</v>
      </c>
      <c r="H545" s="2">
        <v>259</v>
      </c>
      <c r="I545" s="2">
        <v>-227</v>
      </c>
      <c r="J545">
        <v>1</v>
      </c>
    </row>
    <row r="546" spans="1:10" x14ac:dyDescent="0.35">
      <c r="A546" s="2">
        <v>4</v>
      </c>
      <c r="B546" s="2">
        <v>30</v>
      </c>
      <c r="C546" s="2">
        <v>70</v>
      </c>
      <c r="D546" s="2">
        <v>6960</v>
      </c>
      <c r="E546" s="2">
        <v>-2880</v>
      </c>
      <c r="F546" s="2">
        <v>13056</v>
      </c>
      <c r="G546" s="2">
        <v>-200</v>
      </c>
      <c r="H546" s="2">
        <v>288</v>
      </c>
      <c r="I546" s="2">
        <v>-244</v>
      </c>
      <c r="J546">
        <v>1</v>
      </c>
    </row>
    <row r="547" spans="1:10" x14ac:dyDescent="0.35">
      <c r="A547" s="2">
        <v>4</v>
      </c>
      <c r="B547" s="2">
        <v>30</v>
      </c>
      <c r="C547" s="2">
        <v>70</v>
      </c>
      <c r="D547" s="2">
        <v>6996</v>
      </c>
      <c r="E547" s="2">
        <v>-2920</v>
      </c>
      <c r="F547" s="2">
        <v>13144</v>
      </c>
      <c r="G547" s="2">
        <v>-197</v>
      </c>
      <c r="H547" s="2">
        <v>278</v>
      </c>
      <c r="I547" s="2">
        <v>-236</v>
      </c>
      <c r="J547">
        <v>1</v>
      </c>
    </row>
    <row r="548" spans="1:10" x14ac:dyDescent="0.35">
      <c r="A548" s="2">
        <v>4</v>
      </c>
      <c r="B548" s="2">
        <v>30</v>
      </c>
      <c r="C548" s="2">
        <v>70</v>
      </c>
      <c r="D548" s="2">
        <v>7084</v>
      </c>
      <c r="E548" s="2">
        <v>-2916</v>
      </c>
      <c r="F548" s="2">
        <v>13072</v>
      </c>
      <c r="G548" s="2">
        <v>-194</v>
      </c>
      <c r="H548" s="2">
        <v>288</v>
      </c>
      <c r="I548" s="2">
        <v>-239</v>
      </c>
      <c r="J548">
        <v>1</v>
      </c>
    </row>
    <row r="549" spans="1:10" x14ac:dyDescent="0.35">
      <c r="A549" s="2">
        <v>4</v>
      </c>
      <c r="B549" s="2">
        <v>30</v>
      </c>
      <c r="C549" s="2">
        <v>70</v>
      </c>
      <c r="D549" s="2">
        <v>7032</v>
      </c>
      <c r="E549" s="2">
        <v>-2892</v>
      </c>
      <c r="F549" s="2">
        <v>13128</v>
      </c>
      <c r="G549" s="2">
        <v>-189</v>
      </c>
      <c r="H549" s="2">
        <v>267</v>
      </c>
      <c r="I549" s="2">
        <v>-226</v>
      </c>
      <c r="J549">
        <v>1</v>
      </c>
    </row>
    <row r="550" spans="1:10" x14ac:dyDescent="0.35">
      <c r="A550" s="2">
        <v>4</v>
      </c>
      <c r="B550" s="2">
        <v>30.1</v>
      </c>
      <c r="C550" s="2">
        <v>70</v>
      </c>
      <c r="D550" s="2">
        <v>7036</v>
      </c>
      <c r="E550" s="2">
        <v>-2896</v>
      </c>
      <c r="F550" s="2">
        <v>13016</v>
      </c>
      <c r="G550" s="2">
        <v>-199</v>
      </c>
      <c r="H550" s="2">
        <v>273</v>
      </c>
      <c r="I550" s="2">
        <v>-233</v>
      </c>
      <c r="J550">
        <v>1</v>
      </c>
    </row>
    <row r="551" spans="1:10" x14ac:dyDescent="0.35">
      <c r="A551" s="2">
        <v>5</v>
      </c>
      <c r="B551" s="2">
        <v>29.9</v>
      </c>
      <c r="C551" s="2">
        <v>74</v>
      </c>
      <c r="D551" s="2">
        <v>7088</v>
      </c>
      <c r="E551" s="2">
        <v>-2936</v>
      </c>
      <c r="F551" s="2">
        <v>13956</v>
      </c>
      <c r="G551" s="2">
        <v>-787</v>
      </c>
      <c r="H551" s="2">
        <v>-458</v>
      </c>
      <c r="I551" s="2">
        <v>-273</v>
      </c>
      <c r="J551">
        <v>0</v>
      </c>
    </row>
    <row r="552" spans="1:10" x14ac:dyDescent="0.35">
      <c r="A552" s="2">
        <v>5</v>
      </c>
      <c r="B552" s="2">
        <v>29.9</v>
      </c>
      <c r="C552" s="2">
        <v>70</v>
      </c>
      <c r="D552" s="2">
        <v>7080</v>
      </c>
      <c r="E552" s="2">
        <v>-2804</v>
      </c>
      <c r="F552" s="2">
        <v>13128</v>
      </c>
      <c r="G552" s="2">
        <v>-215</v>
      </c>
      <c r="H552" s="2">
        <v>335</v>
      </c>
      <c r="I552" s="2">
        <v>-252</v>
      </c>
      <c r="J552">
        <v>0</v>
      </c>
    </row>
    <row r="553" spans="1:10" x14ac:dyDescent="0.35">
      <c r="A553" s="2">
        <v>5</v>
      </c>
      <c r="B553" s="2">
        <v>29.9</v>
      </c>
      <c r="C553" s="2">
        <v>70</v>
      </c>
      <c r="D553" s="2">
        <v>7068</v>
      </c>
      <c r="E553" s="2">
        <v>-3000</v>
      </c>
      <c r="F553" s="2">
        <v>13188</v>
      </c>
      <c r="G553" s="2">
        <v>-191</v>
      </c>
      <c r="H553" s="2">
        <v>265</v>
      </c>
      <c r="I553" s="2">
        <v>-251</v>
      </c>
      <c r="J553">
        <v>0</v>
      </c>
    </row>
    <row r="554" spans="1:10" x14ac:dyDescent="0.35">
      <c r="A554" s="2">
        <v>5</v>
      </c>
      <c r="B554" s="2">
        <v>29.9</v>
      </c>
      <c r="C554" s="2">
        <v>70</v>
      </c>
      <c r="D554" s="2">
        <v>6940</v>
      </c>
      <c r="E554" s="2">
        <v>-2908</v>
      </c>
      <c r="F554" s="2">
        <v>13224</v>
      </c>
      <c r="G554" s="2">
        <v>-181</v>
      </c>
      <c r="H554" s="2">
        <v>274</v>
      </c>
      <c r="I554" s="2">
        <v>-225</v>
      </c>
      <c r="J554">
        <v>0</v>
      </c>
    </row>
    <row r="555" spans="1:10" x14ac:dyDescent="0.35">
      <c r="A555" s="2">
        <v>5</v>
      </c>
      <c r="B555" s="2">
        <v>30</v>
      </c>
      <c r="C555" s="2">
        <v>70</v>
      </c>
      <c r="D555" s="2">
        <v>6972</v>
      </c>
      <c r="E555" s="2">
        <v>-2960</v>
      </c>
      <c r="F555" s="2">
        <v>13192</v>
      </c>
      <c r="G555" s="2">
        <v>-203</v>
      </c>
      <c r="H555" s="2">
        <v>259</v>
      </c>
      <c r="I555" s="2">
        <v>-232</v>
      </c>
      <c r="J555">
        <v>0</v>
      </c>
    </row>
    <row r="556" spans="1:10" x14ac:dyDescent="0.35">
      <c r="A556" s="2">
        <v>5</v>
      </c>
      <c r="B556" s="2">
        <v>30</v>
      </c>
      <c r="C556" s="2">
        <v>70</v>
      </c>
      <c r="D556" s="2">
        <v>7080</v>
      </c>
      <c r="E556" s="2">
        <v>-2812</v>
      </c>
      <c r="F556" s="2">
        <v>12988</v>
      </c>
      <c r="G556" s="2">
        <v>-197</v>
      </c>
      <c r="H556" s="2">
        <v>291</v>
      </c>
      <c r="I556" s="2">
        <v>-236</v>
      </c>
      <c r="J556">
        <v>0</v>
      </c>
    </row>
    <row r="557" spans="1:10" x14ac:dyDescent="0.35">
      <c r="A557" s="2">
        <v>5</v>
      </c>
      <c r="B557" s="2">
        <v>30</v>
      </c>
      <c r="C557" s="2">
        <v>71</v>
      </c>
      <c r="D557" s="2">
        <v>7016</v>
      </c>
      <c r="E557" s="2">
        <v>-2896</v>
      </c>
      <c r="F557" s="2">
        <v>13160</v>
      </c>
      <c r="G557" s="2">
        <v>-182</v>
      </c>
      <c r="H557" s="2">
        <v>291</v>
      </c>
      <c r="I557" s="2">
        <v>-246</v>
      </c>
      <c r="J557">
        <v>0</v>
      </c>
    </row>
    <row r="558" spans="1:10" x14ac:dyDescent="0.35">
      <c r="A558" s="2">
        <v>5</v>
      </c>
      <c r="B558" s="2">
        <v>30</v>
      </c>
      <c r="C558" s="2">
        <v>71</v>
      </c>
      <c r="D558" s="2">
        <v>7068</v>
      </c>
      <c r="E558" s="2">
        <v>-2868</v>
      </c>
      <c r="F558" s="2">
        <v>13156</v>
      </c>
      <c r="G558" s="2">
        <v>-196</v>
      </c>
      <c r="H558" s="2">
        <v>273</v>
      </c>
      <c r="I558" s="2">
        <v>-226</v>
      </c>
      <c r="J558">
        <v>0</v>
      </c>
    </row>
    <row r="559" spans="1:10" x14ac:dyDescent="0.35">
      <c r="A559" s="2">
        <v>5</v>
      </c>
      <c r="B559" s="2">
        <v>30</v>
      </c>
      <c r="C559" s="2">
        <v>71</v>
      </c>
      <c r="D559" s="2">
        <v>6996</v>
      </c>
      <c r="E559" s="2">
        <v>-2836</v>
      </c>
      <c r="F559" s="2">
        <v>13124</v>
      </c>
      <c r="G559" s="2">
        <v>-189</v>
      </c>
      <c r="H559" s="2">
        <v>282</v>
      </c>
      <c r="I559" s="2">
        <v>-237</v>
      </c>
      <c r="J559">
        <v>0</v>
      </c>
    </row>
    <row r="560" spans="1:10" x14ac:dyDescent="0.35">
      <c r="A560" s="2">
        <v>5</v>
      </c>
      <c r="B560" s="2">
        <v>30</v>
      </c>
      <c r="C560" s="2">
        <v>71</v>
      </c>
      <c r="D560" s="2">
        <v>7008</v>
      </c>
      <c r="E560" s="2">
        <v>-2860</v>
      </c>
      <c r="F560" s="2">
        <v>13080</v>
      </c>
      <c r="G560" s="2">
        <v>-220</v>
      </c>
      <c r="H560" s="2">
        <v>272</v>
      </c>
      <c r="I560" s="2">
        <v>-243</v>
      </c>
      <c r="J560">
        <v>0</v>
      </c>
    </row>
    <row r="561" spans="1:10" x14ac:dyDescent="0.35">
      <c r="A561" s="2">
        <v>5</v>
      </c>
      <c r="B561" s="2">
        <v>30.1</v>
      </c>
      <c r="C561" s="2">
        <v>71</v>
      </c>
      <c r="D561" s="2">
        <v>7012</v>
      </c>
      <c r="E561" s="2">
        <v>-2896</v>
      </c>
      <c r="F561" s="2">
        <v>13116</v>
      </c>
      <c r="G561" s="2">
        <v>-192</v>
      </c>
      <c r="H561" s="2">
        <v>295</v>
      </c>
      <c r="I561" s="2">
        <v>-234</v>
      </c>
      <c r="J561">
        <v>0</v>
      </c>
    </row>
    <row r="562" spans="1:10" x14ac:dyDescent="0.35">
      <c r="A562" s="2">
        <v>5</v>
      </c>
      <c r="B562" s="2">
        <v>30.1</v>
      </c>
      <c r="C562" s="2">
        <v>70</v>
      </c>
      <c r="D562" s="2">
        <v>7040</v>
      </c>
      <c r="E562" s="2">
        <v>-2868</v>
      </c>
      <c r="F562" s="2">
        <v>13172</v>
      </c>
      <c r="G562" s="2">
        <v>-194</v>
      </c>
      <c r="H562" s="2">
        <v>277</v>
      </c>
      <c r="I562" s="2">
        <v>-255</v>
      </c>
      <c r="J562">
        <v>0</v>
      </c>
    </row>
    <row r="563" spans="1:10" x14ac:dyDescent="0.35">
      <c r="A563" s="2">
        <v>5</v>
      </c>
      <c r="B563" s="2">
        <v>30.1</v>
      </c>
      <c r="C563" s="2">
        <v>70</v>
      </c>
      <c r="D563" s="2">
        <v>7056</v>
      </c>
      <c r="E563" s="2">
        <v>-2840</v>
      </c>
      <c r="F563" s="2">
        <v>13128</v>
      </c>
      <c r="G563" s="2">
        <v>-203</v>
      </c>
      <c r="H563" s="2">
        <v>282</v>
      </c>
      <c r="I563" s="2">
        <v>-237</v>
      </c>
      <c r="J563">
        <v>0</v>
      </c>
    </row>
    <row r="564" spans="1:10" x14ac:dyDescent="0.35">
      <c r="A564" s="2">
        <v>5</v>
      </c>
      <c r="B564" s="2">
        <v>30.2</v>
      </c>
      <c r="C564" s="2">
        <v>70</v>
      </c>
      <c r="D564" s="2">
        <v>7060</v>
      </c>
      <c r="E564" s="2">
        <v>-2876</v>
      </c>
      <c r="F564" s="2">
        <v>13140</v>
      </c>
      <c r="G564" s="2">
        <v>-197</v>
      </c>
      <c r="H564" s="2">
        <v>264</v>
      </c>
      <c r="I564" s="2">
        <v>-250</v>
      </c>
      <c r="J564">
        <v>0</v>
      </c>
    </row>
    <row r="565" spans="1:10" x14ac:dyDescent="0.35">
      <c r="A565" s="2">
        <v>5</v>
      </c>
      <c r="B565" s="2">
        <v>30.1</v>
      </c>
      <c r="C565" s="2">
        <v>70</v>
      </c>
      <c r="D565" s="2">
        <v>6968</v>
      </c>
      <c r="E565" s="2">
        <v>-2848</v>
      </c>
      <c r="F565" s="2">
        <v>13204</v>
      </c>
      <c r="G565" s="2">
        <v>-195</v>
      </c>
      <c r="H565" s="2">
        <v>276</v>
      </c>
      <c r="I565" s="2">
        <v>-233</v>
      </c>
      <c r="J565">
        <v>0</v>
      </c>
    </row>
    <row r="566" spans="1:10" x14ac:dyDescent="0.35">
      <c r="A566" s="2">
        <v>5</v>
      </c>
      <c r="B566" s="2">
        <v>30</v>
      </c>
      <c r="C566" s="2">
        <v>70</v>
      </c>
      <c r="D566" s="2">
        <v>7132</v>
      </c>
      <c r="E566" s="2">
        <v>-3008</v>
      </c>
      <c r="F566" s="2">
        <v>13108</v>
      </c>
      <c r="G566" s="2">
        <v>-229</v>
      </c>
      <c r="H566" s="2">
        <v>295</v>
      </c>
      <c r="I566" s="2">
        <v>-316</v>
      </c>
      <c r="J566">
        <v>0</v>
      </c>
    </row>
    <row r="567" spans="1:10" x14ac:dyDescent="0.35">
      <c r="A567" s="2">
        <v>5</v>
      </c>
      <c r="B567" s="2">
        <v>30.1</v>
      </c>
      <c r="C567" s="2">
        <v>70</v>
      </c>
      <c r="D567" s="2">
        <v>7100</v>
      </c>
      <c r="E567" s="2">
        <v>-2936</v>
      </c>
      <c r="F567" s="2">
        <v>13052</v>
      </c>
      <c r="G567" s="2">
        <v>-198</v>
      </c>
      <c r="H567" s="2">
        <v>250</v>
      </c>
      <c r="I567" s="2">
        <v>-254</v>
      </c>
      <c r="J567">
        <v>0</v>
      </c>
    </row>
    <row r="568" spans="1:10" x14ac:dyDescent="0.35">
      <c r="A568" s="2">
        <v>5</v>
      </c>
      <c r="B568" s="2">
        <v>30.1</v>
      </c>
      <c r="C568" s="2">
        <v>70</v>
      </c>
      <c r="D568" s="2">
        <v>7028</v>
      </c>
      <c r="E568" s="2">
        <v>-2896</v>
      </c>
      <c r="F568" s="2">
        <v>13292</v>
      </c>
      <c r="G568" s="2">
        <v>-204</v>
      </c>
      <c r="H568" s="2">
        <v>285</v>
      </c>
      <c r="I568" s="2">
        <v>-226</v>
      </c>
      <c r="J568">
        <v>0</v>
      </c>
    </row>
    <row r="569" spans="1:10" x14ac:dyDescent="0.35">
      <c r="A569" s="2">
        <v>5</v>
      </c>
      <c r="B569" s="2">
        <v>30.2</v>
      </c>
      <c r="C569" s="2">
        <v>70</v>
      </c>
      <c r="D569" s="2">
        <v>6972</v>
      </c>
      <c r="E569" s="2">
        <v>-2916</v>
      </c>
      <c r="F569" s="2">
        <v>13056</v>
      </c>
      <c r="G569" s="2">
        <v>-560</v>
      </c>
      <c r="H569" s="2">
        <v>279</v>
      </c>
      <c r="I569" s="2">
        <v>-219</v>
      </c>
      <c r="J569">
        <v>0</v>
      </c>
    </row>
    <row r="570" spans="1:10" x14ac:dyDescent="0.35">
      <c r="A570" s="2">
        <v>5</v>
      </c>
      <c r="B570" s="2">
        <v>30.1</v>
      </c>
      <c r="C570" s="2">
        <v>70</v>
      </c>
      <c r="D570" s="2">
        <v>7028</v>
      </c>
      <c r="E570" s="2">
        <v>-2844</v>
      </c>
      <c r="F570" s="2">
        <v>13188</v>
      </c>
      <c r="G570" s="2">
        <v>-205</v>
      </c>
      <c r="H570" s="2">
        <v>271</v>
      </c>
      <c r="I570" s="2">
        <v>-259</v>
      </c>
      <c r="J570">
        <v>0</v>
      </c>
    </row>
    <row r="571" spans="1:10" x14ac:dyDescent="0.35">
      <c r="A571" s="2">
        <v>5</v>
      </c>
      <c r="B571" s="2">
        <v>30.1</v>
      </c>
      <c r="C571" s="2">
        <v>69</v>
      </c>
      <c r="D571" s="2">
        <v>6980</v>
      </c>
      <c r="E571" s="2">
        <v>-2916</v>
      </c>
      <c r="F571" s="2">
        <v>13108</v>
      </c>
      <c r="G571" s="2">
        <v>-209</v>
      </c>
      <c r="H571" s="2">
        <v>290</v>
      </c>
      <c r="I571" s="2">
        <v>-247</v>
      </c>
      <c r="J571">
        <v>0</v>
      </c>
    </row>
    <row r="572" spans="1:10" x14ac:dyDescent="0.35">
      <c r="A572" s="2">
        <v>5</v>
      </c>
      <c r="B572" s="2">
        <v>30.1</v>
      </c>
      <c r="C572" s="2">
        <v>69</v>
      </c>
      <c r="D572" s="2">
        <v>7056</v>
      </c>
      <c r="E572" s="2">
        <v>-2932</v>
      </c>
      <c r="F572" s="2">
        <v>13044</v>
      </c>
      <c r="G572" s="2">
        <v>-193</v>
      </c>
      <c r="H572" s="2">
        <v>267</v>
      </c>
      <c r="I572" s="2">
        <v>-232</v>
      </c>
      <c r="J572">
        <v>0</v>
      </c>
    </row>
    <row r="573" spans="1:10" x14ac:dyDescent="0.35">
      <c r="A573" s="2">
        <v>5</v>
      </c>
      <c r="B573" s="2">
        <v>30.1</v>
      </c>
      <c r="C573" s="2">
        <v>69</v>
      </c>
      <c r="D573" s="2">
        <v>7044</v>
      </c>
      <c r="E573" s="2">
        <v>-2956</v>
      </c>
      <c r="F573" s="2">
        <v>13244</v>
      </c>
      <c r="G573" s="2">
        <v>-205</v>
      </c>
      <c r="H573" s="2">
        <v>264</v>
      </c>
      <c r="I573" s="2">
        <v>-237</v>
      </c>
      <c r="J573">
        <v>0</v>
      </c>
    </row>
    <row r="574" spans="1:10" x14ac:dyDescent="0.35">
      <c r="A574" s="2">
        <v>5</v>
      </c>
      <c r="B574" s="2">
        <v>30.2</v>
      </c>
      <c r="C574" s="2">
        <v>69</v>
      </c>
      <c r="D574" s="2">
        <v>7020</v>
      </c>
      <c r="E574" s="2">
        <v>-2880</v>
      </c>
      <c r="F574" s="2">
        <v>13176</v>
      </c>
      <c r="G574" s="2">
        <v>-185</v>
      </c>
      <c r="H574" s="2">
        <v>298</v>
      </c>
      <c r="I574" s="2">
        <v>-242</v>
      </c>
      <c r="J574">
        <v>0</v>
      </c>
    </row>
    <row r="575" spans="1:10" x14ac:dyDescent="0.35">
      <c r="A575" s="2">
        <v>5</v>
      </c>
      <c r="B575" s="2">
        <v>30.1</v>
      </c>
      <c r="C575" s="2">
        <v>69</v>
      </c>
      <c r="D575" s="2">
        <v>7008</v>
      </c>
      <c r="E575" s="2">
        <v>-2848</v>
      </c>
      <c r="F575" s="2">
        <v>13116</v>
      </c>
      <c r="G575" s="2">
        <v>-192</v>
      </c>
      <c r="H575" s="2">
        <v>268</v>
      </c>
      <c r="I575" s="2">
        <v>-242</v>
      </c>
      <c r="J575">
        <v>0</v>
      </c>
    </row>
    <row r="576" spans="1:10" x14ac:dyDescent="0.35">
      <c r="A576" s="2">
        <v>5</v>
      </c>
      <c r="B576" s="2">
        <v>30.1</v>
      </c>
      <c r="C576" s="2">
        <v>69</v>
      </c>
      <c r="D576" s="2">
        <v>7004</v>
      </c>
      <c r="E576" s="2">
        <v>-2940</v>
      </c>
      <c r="F576" s="2">
        <v>13120</v>
      </c>
      <c r="G576" s="2">
        <v>-190</v>
      </c>
      <c r="H576" s="2">
        <v>288</v>
      </c>
      <c r="I576" s="2">
        <v>-243</v>
      </c>
      <c r="J576">
        <v>0</v>
      </c>
    </row>
    <row r="577" spans="1:10" x14ac:dyDescent="0.35">
      <c r="A577" s="2">
        <v>5</v>
      </c>
      <c r="B577" s="2">
        <v>30.1</v>
      </c>
      <c r="C577" s="2">
        <v>69</v>
      </c>
      <c r="D577" s="2">
        <v>7036</v>
      </c>
      <c r="E577" s="2">
        <v>-2964</v>
      </c>
      <c r="F577" s="2">
        <v>13120</v>
      </c>
      <c r="G577" s="2">
        <v>-198</v>
      </c>
      <c r="H577" s="2">
        <v>281</v>
      </c>
      <c r="I577" s="2">
        <v>-240</v>
      </c>
      <c r="J577">
        <v>0</v>
      </c>
    </row>
    <row r="578" spans="1:10" x14ac:dyDescent="0.35">
      <c r="A578" s="2">
        <v>5</v>
      </c>
      <c r="B578" s="2">
        <v>30.2</v>
      </c>
      <c r="C578" s="2">
        <v>69</v>
      </c>
      <c r="D578" s="2">
        <v>7064</v>
      </c>
      <c r="E578" s="2">
        <v>-2912</v>
      </c>
      <c r="F578" s="2">
        <v>13148</v>
      </c>
      <c r="G578" s="2">
        <v>-193</v>
      </c>
      <c r="H578" s="2">
        <v>266</v>
      </c>
      <c r="I578" s="2">
        <v>-240</v>
      </c>
      <c r="J578">
        <v>0</v>
      </c>
    </row>
    <row r="579" spans="1:10" x14ac:dyDescent="0.35">
      <c r="A579" s="2">
        <v>5</v>
      </c>
      <c r="B579" s="2">
        <v>30.1</v>
      </c>
      <c r="C579" s="2">
        <v>69</v>
      </c>
      <c r="D579" s="2">
        <v>7096</v>
      </c>
      <c r="E579" s="2">
        <v>-2900</v>
      </c>
      <c r="F579" s="2">
        <v>13112</v>
      </c>
      <c r="G579" s="2">
        <v>-200</v>
      </c>
      <c r="H579" s="2">
        <v>257</v>
      </c>
      <c r="I579" s="2">
        <v>-242</v>
      </c>
      <c r="J579">
        <v>0</v>
      </c>
    </row>
    <row r="580" spans="1:10" x14ac:dyDescent="0.35">
      <c r="A580" s="2">
        <v>5</v>
      </c>
      <c r="B580" s="2">
        <v>30.1</v>
      </c>
      <c r="C580" s="2">
        <v>69</v>
      </c>
      <c r="D580" s="2">
        <v>6980</v>
      </c>
      <c r="E580" s="2">
        <v>-2980</v>
      </c>
      <c r="F580" s="2">
        <v>13076</v>
      </c>
      <c r="G580" s="2">
        <v>-191</v>
      </c>
      <c r="H580" s="2">
        <v>266</v>
      </c>
      <c r="I580" s="2">
        <v>-231</v>
      </c>
      <c r="J580">
        <v>0</v>
      </c>
    </row>
    <row r="581" spans="1:10" x14ac:dyDescent="0.35">
      <c r="A581" s="2">
        <v>5</v>
      </c>
      <c r="B581" s="2">
        <v>30.1</v>
      </c>
      <c r="C581" s="2">
        <v>69</v>
      </c>
      <c r="D581" s="2">
        <v>6992</v>
      </c>
      <c r="E581" s="2">
        <v>-2960</v>
      </c>
      <c r="F581" s="2">
        <v>13180</v>
      </c>
      <c r="G581" s="2">
        <v>-220</v>
      </c>
      <c r="H581" s="2">
        <v>271</v>
      </c>
      <c r="I581" s="2">
        <v>-237</v>
      </c>
      <c r="J581">
        <v>0</v>
      </c>
    </row>
    <row r="582" spans="1:10" x14ac:dyDescent="0.35">
      <c r="A582" s="2">
        <v>5</v>
      </c>
      <c r="B582" s="2">
        <v>30.2</v>
      </c>
      <c r="C582" s="2">
        <v>69</v>
      </c>
      <c r="D582" s="2">
        <v>6960</v>
      </c>
      <c r="E582" s="2">
        <v>-2936</v>
      </c>
      <c r="F582" s="2">
        <v>13060</v>
      </c>
      <c r="G582" s="2">
        <v>-194</v>
      </c>
      <c r="H582" s="2">
        <v>276</v>
      </c>
      <c r="I582" s="2">
        <v>-231</v>
      </c>
      <c r="J582">
        <v>0</v>
      </c>
    </row>
    <row r="583" spans="1:10" x14ac:dyDescent="0.35">
      <c r="A583" s="2">
        <v>5</v>
      </c>
      <c r="B583" s="2">
        <v>30.2</v>
      </c>
      <c r="C583" s="2">
        <v>69</v>
      </c>
      <c r="D583" s="2">
        <v>6988</v>
      </c>
      <c r="E583" s="2">
        <v>-2916</v>
      </c>
      <c r="F583" s="2">
        <v>13116</v>
      </c>
      <c r="G583" s="2">
        <v>-194</v>
      </c>
      <c r="H583" s="2">
        <v>274</v>
      </c>
      <c r="I583" s="2">
        <v>-226</v>
      </c>
      <c r="J583">
        <v>0</v>
      </c>
    </row>
    <row r="584" spans="1:10" x14ac:dyDescent="0.35">
      <c r="A584" s="2">
        <v>5</v>
      </c>
      <c r="B584" s="2">
        <v>30.1</v>
      </c>
      <c r="C584" s="2">
        <v>69</v>
      </c>
      <c r="D584" s="2">
        <v>6948</v>
      </c>
      <c r="E584" s="2">
        <v>-2864</v>
      </c>
      <c r="F584" s="2">
        <v>13124</v>
      </c>
      <c r="G584" s="2">
        <v>-206</v>
      </c>
      <c r="H584" s="2">
        <v>268</v>
      </c>
      <c r="I584" s="2">
        <v>-238</v>
      </c>
      <c r="J584">
        <v>0</v>
      </c>
    </row>
    <row r="585" spans="1:10" x14ac:dyDescent="0.35">
      <c r="A585" s="2">
        <v>5</v>
      </c>
      <c r="B585" s="2">
        <v>30.1</v>
      </c>
      <c r="C585" s="2">
        <v>69</v>
      </c>
      <c r="D585" s="2">
        <v>7044</v>
      </c>
      <c r="E585" s="2">
        <v>-2880</v>
      </c>
      <c r="F585" s="2">
        <v>13144</v>
      </c>
      <c r="G585" s="2">
        <v>-184</v>
      </c>
      <c r="H585" s="2">
        <v>276</v>
      </c>
      <c r="I585" s="2">
        <v>-235</v>
      </c>
      <c r="J585">
        <v>0</v>
      </c>
    </row>
    <row r="586" spans="1:10" x14ac:dyDescent="0.35">
      <c r="A586" s="2">
        <v>5</v>
      </c>
      <c r="B586" s="2">
        <v>30.1</v>
      </c>
      <c r="C586" s="2">
        <v>69</v>
      </c>
      <c r="D586" s="2">
        <v>7044</v>
      </c>
      <c r="E586" s="2">
        <v>-2916</v>
      </c>
      <c r="F586" s="2">
        <v>13108</v>
      </c>
      <c r="G586" s="2">
        <v>-195</v>
      </c>
      <c r="H586" s="2">
        <v>275</v>
      </c>
      <c r="I586" s="2">
        <v>-227</v>
      </c>
      <c r="J586">
        <v>0</v>
      </c>
    </row>
    <row r="587" spans="1:10" x14ac:dyDescent="0.35">
      <c r="A587" s="2">
        <v>5</v>
      </c>
      <c r="B587" s="2">
        <v>30.2</v>
      </c>
      <c r="C587" s="2">
        <v>69</v>
      </c>
      <c r="D587" s="2">
        <v>7036</v>
      </c>
      <c r="E587" s="2">
        <v>-2856</v>
      </c>
      <c r="F587" s="2">
        <v>13152</v>
      </c>
      <c r="G587" s="2">
        <v>-184</v>
      </c>
      <c r="H587" s="2">
        <v>279</v>
      </c>
      <c r="I587" s="2">
        <v>-228</v>
      </c>
      <c r="J587">
        <v>0</v>
      </c>
    </row>
    <row r="588" spans="1:10" x14ac:dyDescent="0.35">
      <c r="A588" s="2">
        <v>5</v>
      </c>
      <c r="B588" s="2">
        <v>30.2</v>
      </c>
      <c r="C588" s="2">
        <v>69</v>
      </c>
      <c r="D588" s="2">
        <v>6992</v>
      </c>
      <c r="E588" s="2">
        <v>-2828</v>
      </c>
      <c r="F588" s="2">
        <v>13096</v>
      </c>
      <c r="G588" s="2">
        <v>-188</v>
      </c>
      <c r="H588" s="2">
        <v>271</v>
      </c>
      <c r="I588" s="2">
        <v>-223</v>
      </c>
      <c r="J588">
        <v>0</v>
      </c>
    </row>
    <row r="589" spans="1:10" x14ac:dyDescent="0.35">
      <c r="A589" s="2">
        <v>5</v>
      </c>
      <c r="B589" s="2">
        <v>30.3</v>
      </c>
      <c r="C589" s="2">
        <v>69</v>
      </c>
      <c r="D589" s="2">
        <v>7028</v>
      </c>
      <c r="E589" s="2">
        <v>-2864</v>
      </c>
      <c r="F589" s="2">
        <v>13136</v>
      </c>
      <c r="G589" s="2">
        <v>-214</v>
      </c>
      <c r="H589" s="2">
        <v>270</v>
      </c>
      <c r="I589" s="2">
        <v>-233</v>
      </c>
      <c r="J589">
        <v>0</v>
      </c>
    </row>
    <row r="590" spans="1:10" x14ac:dyDescent="0.35">
      <c r="A590" s="2">
        <v>5</v>
      </c>
      <c r="B590" s="2">
        <v>30.2</v>
      </c>
      <c r="C590" s="2">
        <v>69</v>
      </c>
      <c r="D590" s="2">
        <v>7068</v>
      </c>
      <c r="E590" s="2">
        <v>-2876</v>
      </c>
      <c r="F590" s="2">
        <v>13132</v>
      </c>
      <c r="G590" s="2">
        <v>-207</v>
      </c>
      <c r="H590" s="2">
        <v>279</v>
      </c>
      <c r="I590" s="2">
        <v>-238</v>
      </c>
      <c r="J590">
        <v>0</v>
      </c>
    </row>
    <row r="591" spans="1:10" x14ac:dyDescent="0.35">
      <c r="A591" s="2">
        <v>5</v>
      </c>
      <c r="B591" s="2">
        <v>30.2</v>
      </c>
      <c r="C591" s="2">
        <v>69</v>
      </c>
      <c r="D591" s="2">
        <v>7088</v>
      </c>
      <c r="E591" s="2">
        <v>-2800</v>
      </c>
      <c r="F591" s="2">
        <v>13244</v>
      </c>
      <c r="G591" s="2">
        <v>-193</v>
      </c>
      <c r="H591" s="2">
        <v>269</v>
      </c>
      <c r="I591" s="2">
        <v>-243</v>
      </c>
      <c r="J591">
        <v>0</v>
      </c>
    </row>
    <row r="592" spans="1:10" x14ac:dyDescent="0.35">
      <c r="A592" s="2">
        <v>5</v>
      </c>
      <c r="B592" s="2">
        <v>30.2</v>
      </c>
      <c r="C592" s="2">
        <v>69</v>
      </c>
      <c r="D592" s="2">
        <v>6996</v>
      </c>
      <c r="E592" s="2">
        <v>-2856</v>
      </c>
      <c r="F592" s="2">
        <v>13060</v>
      </c>
      <c r="G592" s="2">
        <v>-209</v>
      </c>
      <c r="H592" s="2">
        <v>280</v>
      </c>
      <c r="I592" s="2">
        <v>-234</v>
      </c>
      <c r="J592">
        <v>0</v>
      </c>
    </row>
    <row r="593" spans="1:10" x14ac:dyDescent="0.35">
      <c r="A593" s="2">
        <v>5</v>
      </c>
      <c r="B593" s="2">
        <v>30.2</v>
      </c>
      <c r="C593" s="2">
        <v>69</v>
      </c>
      <c r="D593" s="2">
        <v>6980</v>
      </c>
      <c r="E593" s="2">
        <v>-2836</v>
      </c>
      <c r="F593" s="2">
        <v>13216</v>
      </c>
      <c r="G593" s="2">
        <v>-200</v>
      </c>
      <c r="H593" s="2">
        <v>265</v>
      </c>
      <c r="I593" s="2">
        <v>-238</v>
      </c>
      <c r="J593">
        <v>0</v>
      </c>
    </row>
    <row r="594" spans="1:10" x14ac:dyDescent="0.35">
      <c r="A594" s="2">
        <v>5</v>
      </c>
      <c r="B594" s="2">
        <v>30.3</v>
      </c>
      <c r="C594" s="2">
        <v>69</v>
      </c>
      <c r="D594" s="2">
        <v>7112</v>
      </c>
      <c r="E594" s="2">
        <v>-2908</v>
      </c>
      <c r="F594" s="2">
        <v>13124</v>
      </c>
      <c r="G594" s="2">
        <v>-202</v>
      </c>
      <c r="H594" s="2">
        <v>272</v>
      </c>
      <c r="I594" s="2">
        <v>-233</v>
      </c>
      <c r="J594">
        <v>0</v>
      </c>
    </row>
    <row r="595" spans="1:10" x14ac:dyDescent="0.35">
      <c r="A595" s="2">
        <v>5</v>
      </c>
      <c r="B595" s="2">
        <v>30.2</v>
      </c>
      <c r="C595" s="2">
        <v>69</v>
      </c>
      <c r="D595" s="2">
        <v>7020</v>
      </c>
      <c r="E595" s="2">
        <v>-2888</v>
      </c>
      <c r="F595" s="2">
        <v>13248</v>
      </c>
      <c r="G595" s="2">
        <v>-200</v>
      </c>
      <c r="H595" s="2">
        <v>288</v>
      </c>
      <c r="I595" s="2">
        <v>-233</v>
      </c>
      <c r="J595">
        <v>0</v>
      </c>
    </row>
    <row r="596" spans="1:10" x14ac:dyDescent="0.35">
      <c r="A596" s="2">
        <v>5</v>
      </c>
      <c r="B596" s="2">
        <v>30.2</v>
      </c>
      <c r="C596" s="2">
        <v>69</v>
      </c>
      <c r="D596" s="2">
        <v>6976</v>
      </c>
      <c r="E596" s="2">
        <v>-2892</v>
      </c>
      <c r="F596" s="2">
        <v>13108</v>
      </c>
      <c r="G596" s="2">
        <v>-215</v>
      </c>
      <c r="H596" s="2">
        <v>276</v>
      </c>
      <c r="I596" s="2">
        <v>-238</v>
      </c>
      <c r="J596">
        <v>0</v>
      </c>
    </row>
    <row r="597" spans="1:10" x14ac:dyDescent="0.35">
      <c r="A597" s="2">
        <v>5</v>
      </c>
      <c r="B597" s="2">
        <v>30.2</v>
      </c>
      <c r="C597" s="2">
        <v>69</v>
      </c>
      <c r="D597" s="2">
        <v>6992</v>
      </c>
      <c r="E597" s="2">
        <v>-2924</v>
      </c>
      <c r="F597" s="2">
        <v>13156</v>
      </c>
      <c r="G597" s="2">
        <v>-211</v>
      </c>
      <c r="H597" s="2">
        <v>285</v>
      </c>
      <c r="I597" s="2">
        <v>-235</v>
      </c>
      <c r="J597">
        <v>0</v>
      </c>
    </row>
    <row r="598" spans="1:10" x14ac:dyDescent="0.35">
      <c r="A598" s="2">
        <v>5</v>
      </c>
      <c r="B598" s="2">
        <v>30.2</v>
      </c>
      <c r="C598" s="2">
        <v>69</v>
      </c>
      <c r="D598" s="2">
        <v>6976</v>
      </c>
      <c r="E598" s="2">
        <v>-2848</v>
      </c>
      <c r="F598" s="2">
        <v>13136</v>
      </c>
      <c r="G598" s="2">
        <v>-198</v>
      </c>
      <c r="H598" s="2">
        <v>275</v>
      </c>
      <c r="I598" s="2">
        <v>-227</v>
      </c>
      <c r="J598">
        <v>0</v>
      </c>
    </row>
    <row r="599" spans="1:10" x14ac:dyDescent="0.35">
      <c r="A599" s="2">
        <v>5</v>
      </c>
      <c r="B599" s="2">
        <v>30.2</v>
      </c>
      <c r="C599" s="2">
        <v>69</v>
      </c>
      <c r="D599" s="2">
        <v>6956</v>
      </c>
      <c r="E599" s="2">
        <v>-2840</v>
      </c>
      <c r="F599" s="2">
        <v>13120</v>
      </c>
      <c r="G599" s="2">
        <v>-207</v>
      </c>
      <c r="H599" s="2">
        <v>262</v>
      </c>
      <c r="I599" s="2">
        <v>-219</v>
      </c>
      <c r="J599">
        <v>0</v>
      </c>
    </row>
    <row r="600" spans="1:10" x14ac:dyDescent="0.35">
      <c r="A600" s="2">
        <v>5</v>
      </c>
      <c r="B600" s="2">
        <v>30.2</v>
      </c>
      <c r="C600" s="2">
        <v>69</v>
      </c>
      <c r="D600" s="2">
        <v>7048</v>
      </c>
      <c r="E600" s="2">
        <v>-2852</v>
      </c>
      <c r="F600" s="2">
        <v>13068</v>
      </c>
      <c r="G600" s="2">
        <v>-197</v>
      </c>
      <c r="H600" s="2">
        <v>267</v>
      </c>
      <c r="I600" s="2">
        <v>-224</v>
      </c>
      <c r="J600">
        <v>0</v>
      </c>
    </row>
    <row r="601" spans="1:10" x14ac:dyDescent="0.35">
      <c r="A601" s="2">
        <v>5</v>
      </c>
      <c r="B601" s="2">
        <v>30.2</v>
      </c>
      <c r="C601" s="2">
        <v>69</v>
      </c>
      <c r="D601" s="2">
        <v>6960</v>
      </c>
      <c r="E601" s="2">
        <v>-2900</v>
      </c>
      <c r="F601" s="2">
        <v>13648</v>
      </c>
      <c r="G601" s="2">
        <v>-287</v>
      </c>
      <c r="H601" s="2">
        <v>282</v>
      </c>
      <c r="I601" s="2">
        <v>-301</v>
      </c>
      <c r="J601">
        <v>0</v>
      </c>
    </row>
    <row r="602" spans="1:10" x14ac:dyDescent="0.35">
      <c r="A602" s="2">
        <v>5</v>
      </c>
      <c r="B602" s="2">
        <v>30.2</v>
      </c>
      <c r="C602" s="2">
        <v>69</v>
      </c>
      <c r="D602" s="2">
        <v>7204</v>
      </c>
      <c r="E602" s="2">
        <v>-2884</v>
      </c>
      <c r="F602" s="2">
        <v>13064</v>
      </c>
      <c r="G602" s="2">
        <v>-168</v>
      </c>
      <c r="H602" s="2">
        <v>202</v>
      </c>
      <c r="I602" s="2">
        <v>-253</v>
      </c>
      <c r="J602">
        <v>0</v>
      </c>
    </row>
    <row r="603" spans="1:10" x14ac:dyDescent="0.35">
      <c r="A603" s="2">
        <v>5</v>
      </c>
      <c r="B603" s="2">
        <v>30.2</v>
      </c>
      <c r="C603" s="2">
        <v>69</v>
      </c>
      <c r="D603" s="2">
        <v>6900</v>
      </c>
      <c r="E603" s="2">
        <v>-2840</v>
      </c>
      <c r="F603" s="2">
        <v>13144</v>
      </c>
      <c r="G603" s="2">
        <v>-231</v>
      </c>
      <c r="H603" s="2">
        <v>304</v>
      </c>
      <c r="I603" s="2">
        <v>-222</v>
      </c>
      <c r="J603">
        <v>0</v>
      </c>
    </row>
    <row r="604" spans="1:10" x14ac:dyDescent="0.35">
      <c r="A604" s="2">
        <v>5</v>
      </c>
      <c r="B604" s="2">
        <v>30.2</v>
      </c>
      <c r="C604" s="2">
        <v>69</v>
      </c>
      <c r="D604" s="2">
        <v>7372</v>
      </c>
      <c r="E604" s="2">
        <v>-3124</v>
      </c>
      <c r="F604" s="2">
        <v>13616</v>
      </c>
      <c r="G604" s="2">
        <v>-338</v>
      </c>
      <c r="H604" s="2">
        <v>220</v>
      </c>
      <c r="I604" s="2">
        <v>-1205</v>
      </c>
      <c r="J604">
        <v>0</v>
      </c>
    </row>
    <row r="605" spans="1:10" x14ac:dyDescent="0.35">
      <c r="A605" s="2">
        <v>5</v>
      </c>
      <c r="B605" s="2">
        <v>30.1</v>
      </c>
      <c r="C605" s="2">
        <v>69</v>
      </c>
      <c r="D605" s="2">
        <v>7104</v>
      </c>
      <c r="E605" s="2">
        <v>-2964</v>
      </c>
      <c r="F605" s="2">
        <v>13128</v>
      </c>
      <c r="G605" s="2">
        <v>-209</v>
      </c>
      <c r="H605" s="2">
        <v>571</v>
      </c>
      <c r="I605" s="2">
        <v>-267</v>
      </c>
      <c r="J605">
        <v>0</v>
      </c>
    </row>
    <row r="606" spans="1:10" x14ac:dyDescent="0.35">
      <c r="A606" s="2">
        <v>5</v>
      </c>
      <c r="B606" s="2">
        <v>30.2</v>
      </c>
      <c r="C606" s="2">
        <v>69</v>
      </c>
      <c r="D606" s="2">
        <v>7008</v>
      </c>
      <c r="E606" s="2">
        <v>-2992</v>
      </c>
      <c r="F606" s="2">
        <v>13300</v>
      </c>
      <c r="G606" s="2">
        <v>-301</v>
      </c>
      <c r="H606" s="2">
        <v>285</v>
      </c>
      <c r="I606" s="2">
        <v>-223</v>
      </c>
      <c r="J606">
        <v>0</v>
      </c>
    </row>
    <row r="607" spans="1:10" x14ac:dyDescent="0.35">
      <c r="A607" s="2">
        <v>6</v>
      </c>
      <c r="B607" s="2">
        <v>30.8</v>
      </c>
      <c r="C607" s="2">
        <v>74</v>
      </c>
      <c r="D607" s="2">
        <v>9796</v>
      </c>
      <c r="E607" s="2">
        <v>-1732</v>
      </c>
      <c r="F607" s="2">
        <v>12608</v>
      </c>
      <c r="G607" s="2">
        <v>-1010</v>
      </c>
      <c r="H607" s="2">
        <v>1928</v>
      </c>
      <c r="I607" s="2">
        <v>-1113</v>
      </c>
      <c r="J607">
        <v>1</v>
      </c>
    </row>
    <row r="608" spans="1:10" x14ac:dyDescent="0.35">
      <c r="A608" s="2">
        <v>6</v>
      </c>
      <c r="B608" s="2">
        <v>30.8</v>
      </c>
      <c r="C608" s="2">
        <v>74</v>
      </c>
      <c r="D608" s="2">
        <v>8652</v>
      </c>
      <c r="E608" s="2">
        <v>-1056</v>
      </c>
      <c r="F608" s="2">
        <v>12544</v>
      </c>
      <c r="G608" s="2">
        <v>-182</v>
      </c>
      <c r="H608" s="2">
        <v>279</v>
      </c>
      <c r="I608" s="2">
        <v>-227</v>
      </c>
      <c r="J608">
        <v>1</v>
      </c>
    </row>
    <row r="609" spans="1:10" x14ac:dyDescent="0.35">
      <c r="A609" s="2">
        <v>6</v>
      </c>
      <c r="B609" s="2">
        <v>30.8</v>
      </c>
      <c r="C609" s="2">
        <v>74</v>
      </c>
      <c r="D609" s="2">
        <v>8672</v>
      </c>
      <c r="E609" s="2">
        <v>-1032</v>
      </c>
      <c r="F609" s="2">
        <v>12468</v>
      </c>
      <c r="G609" s="2">
        <v>-200</v>
      </c>
      <c r="H609" s="2">
        <v>285</v>
      </c>
      <c r="I609" s="2">
        <v>-244</v>
      </c>
      <c r="J609">
        <v>1</v>
      </c>
    </row>
    <row r="610" spans="1:10" x14ac:dyDescent="0.35">
      <c r="A610" s="2">
        <v>6</v>
      </c>
      <c r="B610" s="2">
        <v>30.8</v>
      </c>
      <c r="C610" s="2">
        <v>73</v>
      </c>
      <c r="D610" s="2">
        <v>8708</v>
      </c>
      <c r="E610" s="2">
        <v>-1056</v>
      </c>
      <c r="F610" s="2">
        <v>12620</v>
      </c>
      <c r="G610" s="2">
        <v>-269</v>
      </c>
      <c r="H610" s="2">
        <v>322</v>
      </c>
      <c r="I610" s="2">
        <v>-305</v>
      </c>
      <c r="J610">
        <v>1</v>
      </c>
    </row>
    <row r="611" spans="1:10" x14ac:dyDescent="0.35">
      <c r="A611" s="2">
        <v>6</v>
      </c>
      <c r="B611" s="2">
        <v>30.8</v>
      </c>
      <c r="C611" s="2">
        <v>73</v>
      </c>
      <c r="D611" s="2">
        <v>8792</v>
      </c>
      <c r="E611" s="2">
        <v>-1076</v>
      </c>
      <c r="F611" s="2">
        <v>12472</v>
      </c>
      <c r="G611" s="2">
        <v>-193</v>
      </c>
      <c r="H611" s="2">
        <v>288</v>
      </c>
      <c r="I611" s="2">
        <v>-247</v>
      </c>
      <c r="J611">
        <v>1</v>
      </c>
    </row>
    <row r="612" spans="1:10" x14ac:dyDescent="0.35">
      <c r="A612" s="2">
        <v>6</v>
      </c>
      <c r="B612" s="2">
        <v>30.8</v>
      </c>
      <c r="C612" s="2">
        <v>73</v>
      </c>
      <c r="D612" s="2">
        <v>13224</v>
      </c>
      <c r="E612" s="2">
        <v>-2424</v>
      </c>
      <c r="F612" s="2">
        <v>15856</v>
      </c>
      <c r="G612" s="2">
        <v>-1356</v>
      </c>
      <c r="H612" s="2">
        <v>12555</v>
      </c>
      <c r="I612" s="2">
        <v>-2898</v>
      </c>
      <c r="J612">
        <v>1</v>
      </c>
    </row>
    <row r="613" spans="1:10" x14ac:dyDescent="0.35">
      <c r="A613" s="2">
        <v>6</v>
      </c>
      <c r="B613" s="2">
        <v>30.8</v>
      </c>
      <c r="C613" s="2">
        <v>73</v>
      </c>
      <c r="D613" s="2">
        <v>16164</v>
      </c>
      <c r="E613" s="2">
        <v>-1128</v>
      </c>
      <c r="F613" s="2">
        <v>12344</v>
      </c>
      <c r="G613" s="2">
        <v>652</v>
      </c>
      <c r="H613" s="2">
        <v>-4958</v>
      </c>
      <c r="I613" s="2">
        <v>-1933</v>
      </c>
      <c r="J613">
        <v>1</v>
      </c>
    </row>
    <row r="614" spans="1:10" x14ac:dyDescent="0.35">
      <c r="A614" s="2">
        <v>6</v>
      </c>
      <c r="B614" s="2">
        <v>30.8</v>
      </c>
      <c r="C614" s="2">
        <v>73</v>
      </c>
      <c r="D614" s="2">
        <v>9084</v>
      </c>
      <c r="E614" s="2">
        <v>-1276</v>
      </c>
      <c r="F614" s="2">
        <v>12352</v>
      </c>
      <c r="G614" s="2">
        <v>-224</v>
      </c>
      <c r="H614" s="2">
        <v>330</v>
      </c>
      <c r="I614" s="2">
        <v>-291</v>
      </c>
      <c r="J614">
        <v>1</v>
      </c>
    </row>
    <row r="615" spans="1:10" x14ac:dyDescent="0.35">
      <c r="A615" s="2">
        <v>6</v>
      </c>
      <c r="B615" s="2">
        <v>30.8</v>
      </c>
      <c r="C615" s="2">
        <v>73</v>
      </c>
      <c r="D615" s="2">
        <v>14216</v>
      </c>
      <c r="E615" s="2">
        <v>-1460</v>
      </c>
      <c r="F615" s="2">
        <v>12732</v>
      </c>
      <c r="G615" s="2">
        <v>2799</v>
      </c>
      <c r="H615" s="2">
        <v>-10383</v>
      </c>
      <c r="I615" s="2">
        <v>-6607</v>
      </c>
      <c r="J615">
        <v>1</v>
      </c>
    </row>
    <row r="616" spans="1:10" x14ac:dyDescent="0.35">
      <c r="A616" s="2">
        <v>6</v>
      </c>
      <c r="B616" s="2">
        <v>30.8</v>
      </c>
      <c r="C616" s="2">
        <v>73</v>
      </c>
      <c r="D616" s="2">
        <v>9664</v>
      </c>
      <c r="E616" s="2">
        <v>-1216</v>
      </c>
      <c r="F616" s="2">
        <v>11760</v>
      </c>
      <c r="G616" s="2">
        <v>-227</v>
      </c>
      <c r="H616" s="2">
        <v>449</v>
      </c>
      <c r="I616" s="2">
        <v>-231</v>
      </c>
      <c r="J616">
        <v>1</v>
      </c>
    </row>
    <row r="617" spans="1:10" x14ac:dyDescent="0.35">
      <c r="A617" s="2">
        <v>6</v>
      </c>
      <c r="B617" s="2">
        <v>30.8</v>
      </c>
      <c r="C617" s="2">
        <v>73</v>
      </c>
      <c r="D617" s="2">
        <v>9616</v>
      </c>
      <c r="E617" s="2">
        <v>-1240</v>
      </c>
      <c r="F617" s="2">
        <v>11836</v>
      </c>
      <c r="G617" s="2">
        <v>-205</v>
      </c>
      <c r="H617" s="2">
        <v>312</v>
      </c>
      <c r="I617" s="2">
        <v>-227</v>
      </c>
      <c r="J617">
        <v>1</v>
      </c>
    </row>
    <row r="618" spans="1:10" x14ac:dyDescent="0.35">
      <c r="A618" s="2">
        <v>6</v>
      </c>
      <c r="B618" s="2">
        <v>30.8</v>
      </c>
      <c r="C618" s="2">
        <v>72</v>
      </c>
      <c r="D618" s="2">
        <v>9648</v>
      </c>
      <c r="E618" s="2">
        <v>-1220</v>
      </c>
      <c r="F618" s="2">
        <v>12372</v>
      </c>
      <c r="G618" s="2">
        <v>-2036</v>
      </c>
      <c r="H618" s="2">
        <v>1647</v>
      </c>
      <c r="I618" s="2">
        <v>-600</v>
      </c>
      <c r="J618">
        <v>1</v>
      </c>
    </row>
    <row r="619" spans="1:10" x14ac:dyDescent="0.35">
      <c r="A619" s="2">
        <v>7</v>
      </c>
      <c r="B619" s="2">
        <v>30</v>
      </c>
      <c r="C619" s="2">
        <v>79</v>
      </c>
      <c r="D619" s="2">
        <v>10188</v>
      </c>
      <c r="E619" s="2">
        <v>-6684</v>
      </c>
      <c r="F619" s="2">
        <v>12596</v>
      </c>
      <c r="G619" s="2">
        <v>-2948</v>
      </c>
      <c r="H619" s="2">
        <v>3055</v>
      </c>
      <c r="I619" s="2">
        <v>4085</v>
      </c>
      <c r="J619">
        <v>1</v>
      </c>
    </row>
    <row r="620" spans="1:10" x14ac:dyDescent="0.35">
      <c r="A620" s="2">
        <v>7</v>
      </c>
      <c r="B620" s="2">
        <v>30</v>
      </c>
      <c r="C620" s="2">
        <v>75</v>
      </c>
      <c r="D620" s="2">
        <v>9648</v>
      </c>
      <c r="E620" s="2">
        <v>-1796</v>
      </c>
      <c r="F620" s="2">
        <v>12332</v>
      </c>
      <c r="G620" s="2">
        <v>826</v>
      </c>
      <c r="H620" s="2">
        <v>944</v>
      </c>
      <c r="I620" s="2">
        <v>-896</v>
      </c>
      <c r="J620">
        <v>1</v>
      </c>
    </row>
    <row r="621" spans="1:10" x14ac:dyDescent="0.35">
      <c r="A621" s="2">
        <v>7</v>
      </c>
      <c r="B621" s="2">
        <v>30.1</v>
      </c>
      <c r="C621" s="2">
        <v>76</v>
      </c>
      <c r="D621" s="2">
        <v>9652</v>
      </c>
      <c r="E621" s="2">
        <v>-1716</v>
      </c>
      <c r="F621" s="2">
        <v>12064</v>
      </c>
      <c r="G621" s="2">
        <v>-587</v>
      </c>
      <c r="H621" s="2">
        <v>1383</v>
      </c>
      <c r="I621" s="2">
        <v>-350</v>
      </c>
      <c r="J621">
        <v>1</v>
      </c>
    </row>
    <row r="622" spans="1:10" x14ac:dyDescent="0.35">
      <c r="A622" s="2">
        <v>7</v>
      </c>
      <c r="B622" s="2">
        <v>30.3</v>
      </c>
      <c r="C622" s="2">
        <v>79</v>
      </c>
      <c r="D622" s="2">
        <v>9888</v>
      </c>
      <c r="E622" s="2">
        <v>-1316</v>
      </c>
      <c r="F622" s="2">
        <v>12072</v>
      </c>
      <c r="G622" s="2">
        <v>-477</v>
      </c>
      <c r="H622" s="2">
        <v>651</v>
      </c>
      <c r="I622" s="2">
        <v>-267</v>
      </c>
      <c r="J622">
        <v>1</v>
      </c>
    </row>
    <row r="623" spans="1:10" x14ac:dyDescent="0.35">
      <c r="A623" s="2">
        <v>7</v>
      </c>
      <c r="B623" s="2">
        <v>30.3</v>
      </c>
      <c r="C623" s="2">
        <v>78</v>
      </c>
      <c r="D623" s="2">
        <v>9612</v>
      </c>
      <c r="E623" s="2">
        <v>-1304</v>
      </c>
      <c r="F623" s="2">
        <v>12028</v>
      </c>
      <c r="G623" s="2">
        <v>-191</v>
      </c>
      <c r="H623" s="2">
        <v>255</v>
      </c>
      <c r="I623" s="2">
        <v>-237</v>
      </c>
      <c r="J623">
        <v>1</v>
      </c>
    </row>
    <row r="624" spans="1:10" x14ac:dyDescent="0.35">
      <c r="A624" s="2">
        <v>7</v>
      </c>
      <c r="B624" s="2">
        <v>30.3</v>
      </c>
      <c r="C624" s="2">
        <v>77</v>
      </c>
      <c r="D624" s="2">
        <v>9608</v>
      </c>
      <c r="E624" s="2">
        <v>-1244</v>
      </c>
      <c r="F624" s="2">
        <v>11984</v>
      </c>
      <c r="G624" s="2">
        <v>-194</v>
      </c>
      <c r="H624" s="2">
        <v>265</v>
      </c>
      <c r="I624" s="2">
        <v>-253</v>
      </c>
      <c r="J624">
        <v>1</v>
      </c>
    </row>
    <row r="625" spans="1:10" x14ac:dyDescent="0.35">
      <c r="A625" s="2">
        <v>7</v>
      </c>
      <c r="B625" s="2">
        <v>30.3</v>
      </c>
      <c r="C625" s="2">
        <v>77</v>
      </c>
      <c r="D625" s="2">
        <v>9584</v>
      </c>
      <c r="E625" s="2">
        <v>-1328</v>
      </c>
      <c r="F625" s="2">
        <v>11972</v>
      </c>
      <c r="G625" s="2">
        <v>-207</v>
      </c>
      <c r="H625" s="2">
        <v>277</v>
      </c>
      <c r="I625" s="2">
        <v>-262</v>
      </c>
      <c r="J625">
        <v>1</v>
      </c>
    </row>
    <row r="626" spans="1:10" x14ac:dyDescent="0.35">
      <c r="A626" s="2">
        <v>7</v>
      </c>
      <c r="B626" s="2">
        <v>30.4</v>
      </c>
      <c r="C626" s="2">
        <v>76</v>
      </c>
      <c r="D626" s="2">
        <v>9952</v>
      </c>
      <c r="E626" s="2">
        <v>-1144</v>
      </c>
      <c r="F626" s="2">
        <v>12848</v>
      </c>
      <c r="G626" s="2">
        <v>-602</v>
      </c>
      <c r="H626" s="2">
        <v>608</v>
      </c>
      <c r="I626" s="2">
        <v>-558</v>
      </c>
      <c r="J626">
        <v>1</v>
      </c>
    </row>
    <row r="627" spans="1:10" x14ac:dyDescent="0.35">
      <c r="A627" s="2">
        <v>7</v>
      </c>
      <c r="B627" s="2">
        <v>30.4</v>
      </c>
      <c r="C627" s="2">
        <v>76</v>
      </c>
      <c r="D627" s="2">
        <v>9704</v>
      </c>
      <c r="E627" s="2">
        <v>-1288</v>
      </c>
      <c r="F627" s="2">
        <v>12020</v>
      </c>
      <c r="G627" s="2">
        <v>-196</v>
      </c>
      <c r="H627" s="2">
        <v>264</v>
      </c>
      <c r="I627" s="2">
        <v>-240</v>
      </c>
      <c r="J627">
        <v>1</v>
      </c>
    </row>
    <row r="628" spans="1:10" x14ac:dyDescent="0.35">
      <c r="A628" s="2">
        <v>7</v>
      </c>
      <c r="B628" s="2">
        <v>30.5</v>
      </c>
      <c r="C628" s="2">
        <v>76</v>
      </c>
      <c r="D628" s="2">
        <v>9676</v>
      </c>
      <c r="E628" s="2">
        <v>-1260</v>
      </c>
      <c r="F628" s="2">
        <v>11900</v>
      </c>
      <c r="G628" s="2">
        <v>-288</v>
      </c>
      <c r="H628" s="2">
        <v>544</v>
      </c>
      <c r="I628" s="2">
        <v>-258</v>
      </c>
      <c r="J628">
        <v>1</v>
      </c>
    </row>
    <row r="629" spans="1:10" x14ac:dyDescent="0.35">
      <c r="A629" s="2">
        <v>7</v>
      </c>
      <c r="B629" s="2">
        <v>30.4</v>
      </c>
      <c r="C629" s="2">
        <v>75</v>
      </c>
      <c r="D629" s="2">
        <v>9964</v>
      </c>
      <c r="E629" s="2">
        <v>-1232</v>
      </c>
      <c r="F629" s="2">
        <v>11840</v>
      </c>
      <c r="G629" s="2">
        <v>-244</v>
      </c>
      <c r="H629" s="2">
        <v>284</v>
      </c>
      <c r="I629" s="2">
        <v>-279</v>
      </c>
      <c r="J629">
        <v>1</v>
      </c>
    </row>
    <row r="630" spans="1:10" x14ac:dyDescent="0.35">
      <c r="A630" s="2">
        <v>7</v>
      </c>
      <c r="B630" s="2">
        <v>30.5</v>
      </c>
      <c r="C630" s="2">
        <v>75</v>
      </c>
      <c r="D630" s="2">
        <v>9628</v>
      </c>
      <c r="E630" s="2">
        <v>-1300</v>
      </c>
      <c r="F630" s="2">
        <v>12056</v>
      </c>
      <c r="G630" s="2">
        <v>-235</v>
      </c>
      <c r="H630" s="2">
        <v>295</v>
      </c>
      <c r="I630" s="2">
        <v>-235</v>
      </c>
      <c r="J630">
        <v>1</v>
      </c>
    </row>
    <row r="631" spans="1:10" x14ac:dyDescent="0.35">
      <c r="A631" s="2">
        <v>7</v>
      </c>
      <c r="B631" s="2">
        <v>30.5</v>
      </c>
      <c r="C631" s="2">
        <v>75</v>
      </c>
      <c r="D631" s="2">
        <v>9600</v>
      </c>
      <c r="E631" s="2">
        <v>-1272</v>
      </c>
      <c r="F631" s="2">
        <v>11828</v>
      </c>
      <c r="G631" s="2">
        <v>-207</v>
      </c>
      <c r="H631" s="2">
        <v>303</v>
      </c>
      <c r="I631" s="2">
        <v>-240</v>
      </c>
      <c r="J631">
        <v>1</v>
      </c>
    </row>
    <row r="632" spans="1:10" x14ac:dyDescent="0.35">
      <c r="A632" s="2">
        <v>7</v>
      </c>
      <c r="B632" s="2">
        <v>30.5</v>
      </c>
      <c r="C632" s="2">
        <v>75</v>
      </c>
      <c r="D632" s="2">
        <v>9704</v>
      </c>
      <c r="E632" s="2">
        <v>-1312</v>
      </c>
      <c r="F632" s="2">
        <v>11960</v>
      </c>
      <c r="G632" s="2">
        <v>-201</v>
      </c>
      <c r="H632" s="2">
        <v>260</v>
      </c>
      <c r="I632" s="2">
        <v>-246</v>
      </c>
      <c r="J632">
        <v>1</v>
      </c>
    </row>
    <row r="633" spans="1:10" x14ac:dyDescent="0.35">
      <c r="A633" s="2">
        <v>7</v>
      </c>
      <c r="B633" s="2">
        <v>30.5</v>
      </c>
      <c r="C633" s="2">
        <v>75</v>
      </c>
      <c r="D633" s="2">
        <v>9696</v>
      </c>
      <c r="E633" s="2">
        <v>-1336</v>
      </c>
      <c r="F633" s="2">
        <v>11920</v>
      </c>
      <c r="G633" s="2">
        <v>-187</v>
      </c>
      <c r="H633" s="2">
        <v>302</v>
      </c>
      <c r="I633" s="2">
        <v>-231</v>
      </c>
      <c r="J633">
        <v>1</v>
      </c>
    </row>
    <row r="634" spans="1:10" x14ac:dyDescent="0.35">
      <c r="A634" s="2">
        <v>7</v>
      </c>
      <c r="B634" s="2">
        <v>30.6</v>
      </c>
      <c r="C634" s="2">
        <v>74</v>
      </c>
      <c r="D634" s="2">
        <v>9584</v>
      </c>
      <c r="E634" s="2">
        <v>-1296</v>
      </c>
      <c r="F634" s="2">
        <v>11872</v>
      </c>
      <c r="G634" s="2">
        <v>-200</v>
      </c>
      <c r="H634" s="2">
        <v>234</v>
      </c>
      <c r="I634" s="2">
        <v>-249</v>
      </c>
      <c r="J634">
        <v>1</v>
      </c>
    </row>
    <row r="635" spans="1:10" x14ac:dyDescent="0.35">
      <c r="A635" s="2">
        <v>7</v>
      </c>
      <c r="B635" s="2">
        <v>30.5</v>
      </c>
      <c r="C635" s="2">
        <v>74</v>
      </c>
      <c r="D635" s="2">
        <v>9644</v>
      </c>
      <c r="E635" s="2">
        <v>-1240</v>
      </c>
      <c r="F635" s="2">
        <v>11896</v>
      </c>
      <c r="G635" s="2">
        <v>-186</v>
      </c>
      <c r="H635" s="2">
        <v>308</v>
      </c>
      <c r="I635" s="2">
        <v>-239</v>
      </c>
      <c r="J635">
        <v>1</v>
      </c>
    </row>
    <row r="636" spans="1:10" x14ac:dyDescent="0.35">
      <c r="A636" s="2">
        <v>7</v>
      </c>
      <c r="B636" s="2">
        <v>30.6</v>
      </c>
      <c r="C636" s="2">
        <v>74</v>
      </c>
      <c r="D636" s="2">
        <v>9556</v>
      </c>
      <c r="E636" s="2">
        <v>-1504</v>
      </c>
      <c r="F636" s="2">
        <v>11940</v>
      </c>
      <c r="G636" s="2">
        <v>-302</v>
      </c>
      <c r="H636" s="2">
        <v>546</v>
      </c>
      <c r="I636" s="2">
        <v>559</v>
      </c>
      <c r="J636">
        <v>1</v>
      </c>
    </row>
    <row r="637" spans="1:10" x14ac:dyDescent="0.35">
      <c r="A637" s="2">
        <v>8</v>
      </c>
      <c r="B637" s="2">
        <v>28.6</v>
      </c>
      <c r="C637" s="2">
        <v>70</v>
      </c>
      <c r="D637" s="2">
        <v>10088</v>
      </c>
      <c r="E637" s="2">
        <v>-932</v>
      </c>
      <c r="F637" s="2">
        <v>11812</v>
      </c>
      <c r="G637" s="2">
        <v>-773</v>
      </c>
      <c r="H637" s="2">
        <v>622</v>
      </c>
      <c r="I637" s="2">
        <v>349</v>
      </c>
      <c r="J637">
        <v>1</v>
      </c>
    </row>
    <row r="638" spans="1:10" x14ac:dyDescent="0.35">
      <c r="A638" s="2">
        <v>8</v>
      </c>
      <c r="B638" s="2">
        <v>28.7</v>
      </c>
      <c r="C638" s="2">
        <v>66</v>
      </c>
      <c r="D638" s="2">
        <v>9972</v>
      </c>
      <c r="E638" s="2">
        <v>-532</v>
      </c>
      <c r="F638" s="2">
        <v>11716</v>
      </c>
      <c r="G638" s="2">
        <v>-194</v>
      </c>
      <c r="H638" s="2">
        <v>292</v>
      </c>
      <c r="I638" s="2">
        <v>-253</v>
      </c>
      <c r="J638">
        <v>1</v>
      </c>
    </row>
    <row r="639" spans="1:10" x14ac:dyDescent="0.35">
      <c r="A639" s="2">
        <v>8</v>
      </c>
      <c r="B639" s="2">
        <v>28.6</v>
      </c>
      <c r="C639" s="2">
        <v>66</v>
      </c>
      <c r="D639" s="2">
        <v>9932</v>
      </c>
      <c r="E639" s="2">
        <v>-556</v>
      </c>
      <c r="F639" s="2">
        <v>11820</v>
      </c>
      <c r="G639" s="2">
        <v>-184</v>
      </c>
      <c r="H639" s="2">
        <v>306</v>
      </c>
      <c r="I639" s="2">
        <v>-301</v>
      </c>
      <c r="J639">
        <v>1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4EE35-6E75-4F1F-987E-532A4D24BD72}">
  <sheetPr codeName="Hoja2"/>
  <dimension ref="A1:AU143"/>
  <sheetViews>
    <sheetView topLeftCell="T1" zoomScale="70" zoomScaleNormal="70" workbookViewId="0">
      <selection activeCell="AK2" sqref="AK2"/>
    </sheetView>
  </sheetViews>
  <sheetFormatPr baseColWidth="10" defaultColWidth="8.7265625" defaultRowHeight="14.5" x14ac:dyDescent="0.35"/>
  <cols>
    <col min="1" max="1" width="2.6328125" bestFit="1" customWidth="1"/>
    <col min="28" max="28" width="11.1796875" bestFit="1" customWidth="1"/>
    <col min="37" max="37" width="10.26953125" bestFit="1" customWidth="1"/>
  </cols>
  <sheetData>
    <row r="1" spans="1:47" x14ac:dyDescent="0.35">
      <c r="A1" t="s">
        <v>4</v>
      </c>
      <c r="B1" t="s">
        <v>7</v>
      </c>
      <c r="C1" t="s">
        <v>8</v>
      </c>
      <c r="D1" t="s">
        <v>9</v>
      </c>
      <c r="E1" t="s">
        <v>11</v>
      </c>
      <c r="F1" t="s">
        <v>10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19</v>
      </c>
      <c r="M1" t="s">
        <v>20</v>
      </c>
      <c r="N1" t="s">
        <v>21</v>
      </c>
      <c r="O1" t="s">
        <v>18</v>
      </c>
      <c r="P1" t="s">
        <v>22</v>
      </c>
      <c r="Q1" t="s">
        <v>30</v>
      </c>
      <c r="R1" t="s">
        <v>31</v>
      </c>
      <c r="S1" t="s">
        <v>27</v>
      </c>
      <c r="T1" t="s">
        <v>32</v>
      </c>
      <c r="U1" t="s">
        <v>33</v>
      </c>
      <c r="V1" t="s">
        <v>34</v>
      </c>
      <c r="W1" t="s">
        <v>35</v>
      </c>
      <c r="X1" t="s">
        <v>36</v>
      </c>
      <c r="Y1" t="s">
        <v>37</v>
      </c>
      <c r="Z1" t="s">
        <v>23</v>
      </c>
      <c r="AA1" t="s">
        <v>38</v>
      </c>
      <c r="AB1" t="s">
        <v>39</v>
      </c>
      <c r="AC1" t="s">
        <v>40</v>
      </c>
      <c r="AD1" t="s">
        <v>41</v>
      </c>
      <c r="AE1" t="s">
        <v>42</v>
      </c>
      <c r="AF1" t="s">
        <v>43</v>
      </c>
      <c r="AG1" t="s">
        <v>44</v>
      </c>
      <c r="AH1" t="s">
        <v>45</v>
      </c>
      <c r="AI1" t="s">
        <v>46</v>
      </c>
      <c r="AJ1" t="s">
        <v>47</v>
      </c>
      <c r="AK1" t="s">
        <v>48</v>
      </c>
      <c r="AN1" t="s">
        <v>25</v>
      </c>
      <c r="AO1" t="s">
        <v>26</v>
      </c>
      <c r="AP1" t="s">
        <v>6</v>
      </c>
      <c r="AQ1" t="s">
        <v>2</v>
      </c>
      <c r="AR1" t="s">
        <v>3</v>
      </c>
      <c r="AS1" t="s">
        <v>27</v>
      </c>
      <c r="AT1" t="s">
        <v>28</v>
      </c>
      <c r="AU1" t="s">
        <v>29</v>
      </c>
    </row>
    <row r="2" spans="1:47" x14ac:dyDescent="0.35">
      <c r="A2" cm="1">
        <f t="array" ref="A2:A9">_xlfn.UNIQUE(_xlfn._xlws.FILTER(Tabla1[[#Data],[ID]],Tabla1[[#Data],[ID]]&lt;&gt;"",""))</f>
        <v>1</v>
      </c>
      <c r="B2" cm="1">
        <f t="array" ref="B2">IFERROR(AVERAGE(_xlfn._xlws.FILTER(Tabla1[[#Data],[Temperatura]],Tabla1[[ID]:[ID]]=$A2,0)),"")</f>
        <v>30.121428571428591</v>
      </c>
      <c r="C2" cm="1">
        <f t="array" ref="C2">IF(IFERROR(MAX(_xlfn._xlws.FILTER(Tabla1[[#Data],[Temperatura]],Tabla1[[ID]:[ID]]=$A2,0)),"")=0,"",IFERROR(MAX(_xlfn._xlws.FILTER(Tabla1[[#Data],[Temperatura]],Tabla1[[ID]:[ID]]=$A2,0)),""))</f>
        <v>30.2</v>
      </c>
      <c r="D2" cm="1">
        <f t="array" ref="D2">IF(IFERROR(MIN(_xlfn._xlws.FILTER(Tabla1[[#Data],[Temperatura]],Tabla1[[ID]:[ID]]=$A2,0)),"")=0,"",IFERROR(MIN(_xlfn._xlws.FILTER(Tabla1[[#Data],[Temperatura]],Tabla1[[ID]:[ID]]=$A2,0)),""))</f>
        <v>30</v>
      </c>
      <c r="E2" cm="1">
        <f t="array" ref="E2">IFERROR(AVERAGE(_xlfn._xlws.FILTER(Tabla1[[#Data],[Humidade]],Tabla1[[ID]:[ID]]=$A2,0)),"")</f>
        <v>70.428571428571431</v>
      </c>
      <c r="F2" cm="1">
        <f t="array" ref="F2">IF(IFERROR(MAX(_xlfn._xlws.FILTER(Tabla1[[#Data],[Humidade]],Tabla1[[ID]:[ID]]=$A2,0)),"")=0,"",IFERROR(MAX(_xlfn._xlws.FILTER(Tabla1[[#Data],[Humidade]],Tabla1[[ID]:[ID]]=$A2,0)),""))</f>
        <v>72</v>
      </c>
      <c r="G2" cm="1">
        <f t="array" ref="G2">IF(IFERROR(MIN(_xlfn._xlws.FILTER(Tabla1[[#Data],[Humidade]],Tabla1[[ID]:[ID]]=$A2,0)),"")=0,"",IFERROR(MIN(_xlfn._xlws.FILTER(Tabla1[[#Data],[Humidade]],Tabla1[[ID]:[ID]]=$A2,0)),""))</f>
        <v>69</v>
      </c>
      <c r="H2" cm="1">
        <f t="array" ref="H2">IFERROR(AVERAGE(_xlfn._xlws.FILTER(Tabla1[[#Data],[AcX]],Tabla1[[ID]:[ID]]=$A2,0)),"")</f>
        <v>2907</v>
      </c>
      <c r="I2" cm="1">
        <f t="array" ref="I2">IF(IFERROR(MAX(_xlfn._xlws.FILTER(Tabla1[[#Data],[AcX]],Tabla1[[ID]:[ID]]=$A2,0)),"")=0,"",IFERROR(MAX(_xlfn._xlws.FILTER(Tabla1[[#Data],[AcX]],Tabla1[[ID]:[ID]]=$A2,0)),""))</f>
        <v>3320</v>
      </c>
      <c r="J2" cm="1">
        <f t="array" ref="J2">IF(IFERROR(MIN(_xlfn._xlws.FILTER(Tabla1[[#Data],[AcX]],Tabla1[[ID]:[ID]]=$A2,0)),"")=0,"",IFERROR(MIN(_xlfn._xlws.FILTER(Tabla1[[#Data],[AcX]],Tabla1[[ID]:[ID]]=$A2,0)),""))</f>
        <v>2772</v>
      </c>
      <c r="K2" cm="1">
        <f t="array" ref="K2">IFERROR(AVERAGE(_xlfn._xlws.FILTER(Tabla1[[#Data],[AcY]],Tabla1[[ID]:[ID]]=$A2,0)),"")</f>
        <v>-5227.5714285714284</v>
      </c>
      <c r="L2" cm="1">
        <f t="array" ref="L2">IF(IFERROR(MAX(_xlfn._xlws.FILTER(Tabla1[[#Data],[AcY]],Tabla1[[ID]:[ID]]=$A2,0)),"")=0,"",IFERROR(MAX(_xlfn._xlws.FILTER(Tabla1[[#Data],[AcY]],Tabla1[[ID]:[ID]]=$A2,0)),""))</f>
        <v>-5036</v>
      </c>
      <c r="M2" cm="1">
        <f t="array" ref="M2">IF(IFERROR(MIN(_xlfn._xlws.FILTER(Tabla1[[#Data],[AcY]],Tabla1[[ID]:[ID]]=$A2,0)),"")=0,"",IFERROR(MIN(_xlfn._xlws.FILTER(Tabla1[[#Data],[AcY]],Tabla1[[ID]:[ID]]=$A2,0)),""))</f>
        <v>-5592</v>
      </c>
      <c r="N2" cm="1">
        <f t="array" ref="N2">IFERROR(AVERAGE(_xlfn._xlws.FILTER(Tabla1[[#Data],[AcZ]],Tabla1[[ID]:[ID]]=$A2,0)),"")</f>
        <v>13787.285714285714</v>
      </c>
      <c r="O2" cm="1">
        <f t="array" ref="O2">IF(IFERROR(MAX(_xlfn._xlws.FILTER(Tabla1[[#Data],[AcZ]],Tabla1[[ID]:[ID]]=$A2,0)),"")=0,"",IFERROR(MAX(_xlfn._xlws.FILTER(Tabla1[[#Data],[AcZ]],Tabla1[[ID]:[ID]]=$A2,0)),""))</f>
        <v>13932</v>
      </c>
      <c r="P2" cm="1">
        <f t="array" ref="P2">IF(IFERROR(MIN(_xlfn._xlws.FILTER(Tabla1[[#Data],[AcZ]],Tabla1[[ID]:[ID]]=$A2,0)),"")=0,"",IFERROR(MIN(_xlfn._xlws.FILTER(Tabla1[[#Data],[AcZ]],Tabla1[[ID]:[ID]]=$A2,0)),""))</f>
        <v>13688</v>
      </c>
      <c r="Q2" cm="1">
        <f t="array" ref="Q2">IFERROR(AVERAGE(_xlfn._xlws.FILTER(Tabla1[[#Data],[GyX]],Tabla1[[ID]:[ID]]=$A2,0)),"")</f>
        <v>-238.71428571428572</v>
      </c>
      <c r="R2" cm="1">
        <f t="array" ref="R2">IF(IFERROR(MAX(_xlfn._xlws.FILTER(Tabla1[[#Data],[GyX]],Tabla1[[ID]:[ID]]=$A2,0)),"")=0,"",IFERROR(MAX(_xlfn._xlws.FILTER(Tabla1[[#Data],[GyX]],Tabla1[[ID]:[ID]]=$A2,0)),""))</f>
        <v>-166</v>
      </c>
      <c r="S2" cm="1">
        <f t="array" ref="S2">IF(IFERROR(MIN(_xlfn._xlws.FILTER(Tabla1[[#Data],[GyX]],Tabla1[[ID]:[ID]]=$A2,0)),"")=0,"",IFERROR(MIN(_xlfn._xlws.FILTER(Tabla1[[#Data],[GyX]],Tabla1[[ID]:[ID]]=$A2,0)),""))</f>
        <v>-389</v>
      </c>
      <c r="T2" cm="1">
        <f t="array" ref="T2">IFERROR(AVERAGE(_xlfn._xlws.FILTER(Tabla1[[#Data],[GyY]],Tabla1[[ID]:[ID]]=$A2,0)),"")</f>
        <v>332.21428571428572</v>
      </c>
      <c r="U2" cm="1">
        <f t="array" ref="U2">IF(IFERROR(MAX(_xlfn._xlws.FILTER(Tabla1[[#Data],[GyY]],Tabla1[[ID]:[ID]]=$A2,0)),"")=0,"",IFERROR(MAX(_xlfn._xlws.FILTER(Tabla1[[#Data],[GyY]],Tabla1[[ID]:[ID]]=$A2,0)),""))</f>
        <v>501</v>
      </c>
      <c r="V2" cm="1">
        <f t="array" ref="V2">IF(IFERROR(MIN(_xlfn._xlws.FILTER(Tabla1[[#Data],[GyY]],Tabla1[[ID]:[ID]]=$A2,0)),"")=0,"",IFERROR(MIN(_xlfn._xlws.FILTER(Tabla1[[#Data],[GyY]],Tabla1[[ID]:[ID]]=$A2,0)),""))</f>
        <v>-323</v>
      </c>
      <c r="W2" cm="1">
        <f t="array" ref="W2">IFERROR(AVERAGE(_xlfn._xlws.FILTER(Tabla1[[#Data],[GyZ]],Tabla1[[ID]:[ID]]=$A2,0)),"")</f>
        <v>-269.46428571428572</v>
      </c>
      <c r="X2" cm="1">
        <f t="array" ref="X2">IF(IFERROR(MAX(_xlfn._xlws.FILTER(Tabla1[[#Data],[GyZ]],Tabla1[[ID]:[ID]]=$A2,0)),"")=0,"",IFERROR(MAX(_xlfn._xlws.FILTER(Tabla1[[#Data],[GyZ]],Tabla1[[ID]:[ID]]=$A2,0)),""))</f>
        <v>-224</v>
      </c>
      <c r="Y2" cm="1">
        <f t="array" ref="Y2">IF(IFERROR(MIN(_xlfn._xlws.FILTER(Tabla1[[#Data],[GyZ]],Tabla1[[ID]:[ID]]=$A2,0)),"")=0,"",IFERROR(MIN(_xlfn._xlws.FILTER(Tabla1[[#Data],[GyZ]],Tabla1[[ID]:[ID]]=$A2,0)),""))</f>
        <v>-383</v>
      </c>
      <c r="Z2" cm="1">
        <f t="array" ref="Z2">IF(ISNUMBER(A2),IF(ISNUMBER(MATCH(1,_xlfn._xlws.FILTER(Tabla1[[#Data],[Open]],Tabla1[[ID]:[ID]]=$A2,""),0)),1,0),"")</f>
        <v>1</v>
      </c>
      <c r="AA2">
        <f>IF(ISNUMBER($A2),IF(AND(AB2:AJ2),1,0),"")</f>
        <v>0</v>
      </c>
      <c r="AB2">
        <f>IF(ISNUMBER($A2),IF(OR(C2&gt;=AN$2,D2&lt;=AN$3),0,1),"")</f>
        <v>1</v>
      </c>
      <c r="AC2">
        <f>IF(ISNUMBER($A2),IF(OR(F2&gt;=AO$2,G2&lt;=AO$3),0,1),"")</f>
        <v>1</v>
      </c>
      <c r="AD2">
        <f>IF(ISNUMBER($A2),IF(OR(I2&gt;=AP$2,J2&lt;=AP$3),0,1),"")</f>
        <v>1</v>
      </c>
      <c r="AE2">
        <f>IF(ISNUMBER($A2),IF(OR(L2&gt;=AQ$2,M2&lt;=AQ$3),0,1),"")</f>
        <v>1</v>
      </c>
      <c r="AF2">
        <f>IF(ISNUMBER($A2),IF(OR(O2&gt;=AR$2,P2&lt;=AR$3),0,1),"")</f>
        <v>1</v>
      </c>
      <c r="AG2">
        <f>IF(ISNUMBER($A2),IF(OR(R2&gt;=AS$2,S2&lt;=AS$3),0,1),"")</f>
        <v>1</v>
      </c>
      <c r="AH2">
        <f>IF(ISNUMBER($A2),IF(OR(U2&gt;=AT$2,V2&lt;=AT$3),0,1),"")</f>
        <v>1</v>
      </c>
      <c r="AI2">
        <f>IF(ISNUMBER($A2),IF(OR(X2&gt;=AU$2,Y2&lt;=AU$3),0,1),"")</f>
        <v>1</v>
      </c>
      <c r="AJ2">
        <f>IF(ISNUMBER($A2),IF(Z2=1,0,1),"")</f>
        <v>0</v>
      </c>
      <c r="AM2" t="s">
        <v>24</v>
      </c>
      <c r="AN2">
        <v>35</v>
      </c>
      <c r="AO2">
        <v>80</v>
      </c>
      <c r="AP2">
        <v>10000</v>
      </c>
      <c r="AQ2">
        <v>10000</v>
      </c>
      <c r="AR2">
        <v>16000</v>
      </c>
      <c r="AS2">
        <v>2000</v>
      </c>
      <c r="AT2">
        <v>2000</v>
      </c>
      <c r="AU2">
        <v>2000</v>
      </c>
    </row>
    <row r="3" spans="1:47" x14ac:dyDescent="0.35">
      <c r="A3">
        <v>2</v>
      </c>
      <c r="B3" cm="1">
        <f t="array" ref="B3">IFERROR(AVERAGE(_xlfn._xlws.FILTER(Tabla1[[#Data],[Temperatura]],Tabla1[[ID]:[ID]]=$A3,0)),"")</f>
        <v>30.461099796334079</v>
      </c>
      <c r="C3" cm="1">
        <f t="array" ref="C3">IF(IFERROR(MAX(_xlfn._xlws.FILTER(Tabla1[[#Data],[Temperatura]],Tabla1[[ID]:[ID]]=$A3,0)),"")=0,"",IFERROR(MAX(_xlfn._xlws.FILTER(Tabla1[[#Data],[Temperatura]],Tabla1[[ID]:[ID]]=$A3,0)),""))</f>
        <v>30.7</v>
      </c>
      <c r="D3" cm="1">
        <f t="array" ref="D3">IF(IFERROR(MIN(_xlfn._xlws.FILTER(Tabla1[[#Data],[Temperatura]],Tabla1[[ID]:[ID]]=$A3,0)),"")=0,"",IFERROR(MIN(_xlfn._xlws.FILTER(Tabla1[[#Data],[Temperatura]],Tabla1[[ID]:[ID]]=$A3,0)),""))</f>
        <v>29.6</v>
      </c>
      <c r="E3" cm="1">
        <f t="array" ref="E3">IFERROR(AVERAGE(_xlfn._xlws.FILTER(Tabla1[[#Data],[Humidade]],Tabla1[[ID]:[ID]]=$A3,0)),"")</f>
        <v>70.254582484725049</v>
      </c>
      <c r="F3" cm="1">
        <f t="array" ref="F3">IF(IFERROR(MAX(_xlfn._xlws.FILTER(Tabla1[[#Data],[Humidade]],Tabla1[[ID]:[ID]]=$A3,0)),"")=0,"",IFERROR(MAX(_xlfn._xlws.FILTER(Tabla1[[#Data],[Humidade]],Tabla1[[ID]:[ID]]=$A3,0)),""))</f>
        <v>73</v>
      </c>
      <c r="G3" cm="1">
        <f t="array" ref="G3">IF(IFERROR(MIN(_xlfn._xlws.FILTER(Tabla1[[#Data],[Humidade]],Tabla1[[ID]:[ID]]=$A3,0)),"")=0,"",IFERROR(MIN(_xlfn._xlws.FILTER(Tabla1[[#Data],[Humidade]],Tabla1[[ID]:[ID]]=$A3,0)),""))</f>
        <v>68</v>
      </c>
      <c r="H3" cm="1">
        <f t="array" ref="H3">IFERROR(AVERAGE(_xlfn._xlws.FILTER(Tabla1[[#Data],[AcX]],Tabla1[[ID]:[ID]]=$A3,0)),"")</f>
        <v>2596.5621181262727</v>
      </c>
      <c r="I3" cm="1">
        <f t="array" ref="I3">IF(IFERROR(MAX(_xlfn._xlws.FILTER(Tabla1[[#Data],[AcX]],Tabla1[[ID]:[ID]]=$A3,0)),"")=0,"",IFERROR(MAX(_xlfn._xlws.FILTER(Tabla1[[#Data],[AcX]],Tabla1[[ID]:[ID]]=$A3,0)),""))</f>
        <v>3876</v>
      </c>
      <c r="J3" cm="1">
        <f t="array" ref="J3">IF(IFERROR(MIN(_xlfn._xlws.FILTER(Tabla1[[#Data],[AcX]],Tabla1[[ID]:[ID]]=$A3,0)),"")=0,"",IFERROR(MIN(_xlfn._xlws.FILTER(Tabla1[[#Data],[AcX]],Tabla1[[ID]:[ID]]=$A3,0)),""))</f>
        <v>2300</v>
      </c>
      <c r="K3" cm="1">
        <f t="array" ref="K3">IFERROR(AVERAGE(_xlfn._xlws.FILTER(Tabla1[[#Data],[AcY]],Tabla1[[ID]:[ID]]=$A3,0)),"")</f>
        <v>-5598.7861507128309</v>
      </c>
      <c r="L3" cm="1">
        <f t="array" ref="L3">IF(IFERROR(MAX(_xlfn._xlws.FILTER(Tabla1[[#Data],[AcY]],Tabla1[[ID]:[ID]]=$A3,0)),"")=0,"",IFERROR(MAX(_xlfn._xlws.FILTER(Tabla1[[#Data],[AcY]],Tabla1[[ID]:[ID]]=$A3,0)),""))</f>
        <v>-5304</v>
      </c>
      <c r="M3" cm="1">
        <f t="array" ref="M3">IF(IFERROR(MIN(_xlfn._xlws.FILTER(Tabla1[[#Data],[AcY]],Tabla1[[ID]:[ID]]=$A3,0)),"")=0,"",IFERROR(MIN(_xlfn._xlws.FILTER(Tabla1[[#Data],[AcY]],Tabla1[[ID]:[ID]]=$A3,0)),""))</f>
        <v>-6600</v>
      </c>
      <c r="N3" cm="1">
        <f t="array" ref="N3">IFERROR(AVERAGE(_xlfn._xlws.FILTER(Tabla1[[#Data],[AcZ]],Tabla1[[ID]:[ID]]=$A3,0)),"")</f>
        <v>13751.991853360489</v>
      </c>
      <c r="O3" cm="1">
        <f t="array" ref="O3">IF(IFERROR(MAX(_xlfn._xlws.FILTER(Tabla1[[#Data],[AcZ]],Tabla1[[ID]:[ID]]=$A3,0)),"")=0,"",IFERROR(MAX(_xlfn._xlws.FILTER(Tabla1[[#Data],[AcZ]],Tabla1[[ID]:[ID]]=$A3,0)),""))</f>
        <v>14948</v>
      </c>
      <c r="P3" cm="1">
        <f t="array" ref="P3">IF(IFERROR(MIN(_xlfn._xlws.FILTER(Tabla1[[#Data],[AcZ]],Tabla1[[ID]:[ID]]=$A3,0)),"")=0,"",IFERROR(MIN(_xlfn._xlws.FILTER(Tabla1[[#Data],[AcZ]],Tabla1[[ID]:[ID]]=$A3,0)),""))</f>
        <v>13504</v>
      </c>
      <c r="Q3" cm="1">
        <f t="array" ref="Q3">IFERROR(AVERAGE(_xlfn._xlws.FILTER(Tabla1[[#Data],[GyX]],Tabla1[[ID]:[ID]]=$A3,0)),"")</f>
        <v>-237.27291242362526</v>
      </c>
      <c r="R3" cm="1">
        <f t="array" ref="R3">IF(IFERROR(MAX(_xlfn._xlws.FILTER(Tabla1[[#Data],[GyX]],Tabla1[[ID]:[ID]]=$A3,0)),"")=0,"",IFERROR(MAX(_xlfn._xlws.FILTER(Tabla1[[#Data],[GyX]],Tabla1[[ID]:[ID]]=$A3,0)),""))</f>
        <v>251</v>
      </c>
      <c r="S3" cm="1">
        <f t="array" ref="S3">IF(IFERROR(MIN(_xlfn._xlws.FILTER(Tabla1[[#Data],[GyX]],Tabla1[[ID]:[ID]]=$A3,0)),"")=0,"",IFERROR(MIN(_xlfn._xlws.FILTER(Tabla1[[#Data],[GyX]],Tabla1[[ID]:[ID]]=$A3,0)),""))</f>
        <v>-1266</v>
      </c>
      <c r="T3" cm="1">
        <f t="array" ref="T3">IFERROR(AVERAGE(_xlfn._xlws.FILTER(Tabla1[[#Data],[GyY]],Tabla1[[ID]:[ID]]=$A3,0)),"")</f>
        <v>368.4623217922607</v>
      </c>
      <c r="U3" cm="1">
        <f t="array" ref="U3">IF(IFERROR(MAX(_xlfn._xlws.FILTER(Tabla1[[#Data],[GyY]],Tabla1[[ID]:[ID]]=$A3,0)),"")=0,"",IFERROR(MAX(_xlfn._xlws.FILTER(Tabla1[[#Data],[GyY]],Tabla1[[ID]:[ID]]=$A3,0)),""))</f>
        <v>2146</v>
      </c>
      <c r="V3" cm="1">
        <f t="array" ref="V3">IF(IFERROR(MIN(_xlfn._xlws.FILTER(Tabla1[[#Data],[GyY]],Tabla1[[ID]:[ID]]=$A3,0)),"")=0,"",IFERROR(MIN(_xlfn._xlws.FILTER(Tabla1[[#Data],[GyY]],Tabla1[[ID]:[ID]]=$A3,0)),""))</f>
        <v>-974</v>
      </c>
      <c r="W3" cm="1">
        <f t="array" ref="W3">IFERROR(AVERAGE(_xlfn._xlws.FILTER(Tabla1[[#Data],[GyZ]],Tabla1[[ID]:[ID]]=$A3,0)),"")</f>
        <v>-270.00814663951121</v>
      </c>
      <c r="X3" cm="1">
        <f t="array" ref="X3">IF(IFERROR(MAX(_xlfn._xlws.FILTER(Tabla1[[#Data],[GyZ]],Tabla1[[ID]:[ID]]=$A3,0)),"")=0,"",IFERROR(MAX(_xlfn._xlws.FILTER(Tabla1[[#Data],[GyZ]],Tabla1[[ID]:[ID]]=$A3,0)),""))</f>
        <v>527</v>
      </c>
      <c r="Y3" cm="1">
        <f t="array" ref="Y3">IF(IFERROR(MIN(_xlfn._xlws.FILTER(Tabla1[[#Data],[GyZ]],Tabla1[[ID]:[ID]]=$A3,0)),"")=0,"",IFERROR(MIN(_xlfn._xlws.FILTER(Tabla1[[#Data],[GyZ]],Tabla1[[ID]:[ID]]=$A3,0)),""))</f>
        <v>-825</v>
      </c>
      <c r="Z3" cm="1">
        <f t="array" ref="Z3">IF(ISNUMBER(A3),IF(ISNUMBER(MATCH(1,_xlfn._xlws.FILTER(Tabla1[[#Data],[Open]],Tabla1[[ID]:[ID]]=$A3,""),0)),1,0),"")</f>
        <v>1</v>
      </c>
      <c r="AA3">
        <f t="shared" ref="AA3:AA66" si="0">IF(ISNUMBER($A3),IF(AND(AB3:AJ3),1,0),"")</f>
        <v>0</v>
      </c>
      <c r="AB3">
        <f t="shared" ref="AB3:AB66" si="1">IF(ISNUMBER($A3),IF(OR(C3&gt;=AN$2,D3&lt;=AN$3),0,1),"")</f>
        <v>1</v>
      </c>
      <c r="AC3">
        <f t="shared" ref="AC3:AC66" si="2">IF(ISNUMBER($A3),IF(OR(F3&gt;=AO$2,G3&lt;=AO$3),0,1),"")</f>
        <v>1</v>
      </c>
      <c r="AD3">
        <f t="shared" ref="AD3:AD66" si="3">IF(ISNUMBER($A3),IF(OR(I3&gt;=AP$2,J3&lt;=AP$3),0,1),"")</f>
        <v>1</v>
      </c>
      <c r="AE3">
        <f t="shared" ref="AE3:AE66" si="4">IF(ISNUMBER($A3),IF(OR(L3&gt;=AQ$2,M3&lt;=AQ$3),0,1),"")</f>
        <v>1</v>
      </c>
      <c r="AF3">
        <f t="shared" ref="AF3:AF66" si="5">IF(ISNUMBER($A3),IF(OR(O3&gt;=AR$2,P3&lt;=AR$3),0,1),"")</f>
        <v>1</v>
      </c>
      <c r="AG3">
        <f t="shared" ref="AG3:AG66" si="6">IF(ISNUMBER($A3),IF(OR(R3&gt;=AS$2,S3&lt;=AS$3),0,1),"")</f>
        <v>1</v>
      </c>
      <c r="AH3">
        <f t="shared" ref="AH3:AH66" si="7">IF(ISNUMBER($A3),IF(OR(U3&gt;=AT$2,V3&lt;=AT$3),0,1),"")</f>
        <v>0</v>
      </c>
      <c r="AI3">
        <f t="shared" ref="AI3:AI66" si="8">IF(ISNUMBER($A3),IF(OR(X3&gt;=AU$2,Y3&lt;=AU$3),0,1),"")</f>
        <v>1</v>
      </c>
      <c r="AJ3">
        <f t="shared" ref="AJ3:AJ66" si="9">IF(ISNUMBER($A3),IF(Z3=1,0,1),"")</f>
        <v>0</v>
      </c>
      <c r="AM3" t="s">
        <v>12</v>
      </c>
      <c r="AN3">
        <v>10</v>
      </c>
      <c r="AO3">
        <v>50</v>
      </c>
      <c r="AP3">
        <v>-10000</v>
      </c>
      <c r="AQ3">
        <v>-10000</v>
      </c>
      <c r="AR3">
        <v>9000</v>
      </c>
      <c r="AS3">
        <v>-2000</v>
      </c>
      <c r="AT3">
        <v>-2000</v>
      </c>
      <c r="AU3">
        <v>-2000</v>
      </c>
    </row>
    <row r="4" spans="1:47" x14ac:dyDescent="0.35">
      <c r="A4">
        <v>3</v>
      </c>
      <c r="B4" cm="1">
        <f t="array" ref="B4">IFERROR(AVERAGE(_xlfn._xlws.FILTER(Tabla1[[#Data],[Temperatura]],Tabla1[[ID]:[ID]]=$A4,0)),"")</f>
        <v>29.799999999999997</v>
      </c>
      <c r="C4" cm="1">
        <f t="array" ref="C4">IF(IFERROR(MAX(_xlfn._xlws.FILTER(Tabla1[[#Data],[Temperatura]],Tabla1[[ID]:[ID]]=$A4,0)),"")=0,"",IFERROR(MAX(_xlfn._xlws.FILTER(Tabla1[[#Data],[Temperatura]],Tabla1[[ID]:[ID]]=$A4,0)),""))</f>
        <v>30</v>
      </c>
      <c r="D4" cm="1">
        <f t="array" ref="D4">IF(IFERROR(MIN(_xlfn._xlws.FILTER(Tabla1[[#Data],[Temperatura]],Tabla1[[ID]:[ID]]=$A4,0)),"")=0,"",IFERROR(MIN(_xlfn._xlws.FILTER(Tabla1[[#Data],[Temperatura]],Tabla1[[ID]:[ID]]=$A4,0)),""))</f>
        <v>29.6</v>
      </c>
      <c r="E4" cm="1">
        <f t="array" ref="E4">IFERROR(AVERAGE(_xlfn._xlws.FILTER(Tabla1[[#Data],[Humidade]],Tabla1[[ID]:[ID]]=$A4,0)),"")</f>
        <v>73.166666666666671</v>
      </c>
      <c r="F4" cm="1">
        <f t="array" ref="F4">IF(IFERROR(MAX(_xlfn._xlws.FILTER(Tabla1[[#Data],[Humidade]],Tabla1[[ID]:[ID]]=$A4,0)),"")=0,"",IFERROR(MAX(_xlfn._xlws.FILTER(Tabla1[[#Data],[Humidade]],Tabla1[[ID]:[ID]]=$A4,0)),""))</f>
        <v>75</v>
      </c>
      <c r="G4" cm="1">
        <f t="array" ref="G4">IF(IFERROR(MIN(_xlfn._xlws.FILTER(Tabla1[[#Data],[Humidade]],Tabla1[[ID]:[ID]]=$A4,0)),"")=0,"",IFERROR(MIN(_xlfn._xlws.FILTER(Tabla1[[#Data],[Humidade]],Tabla1[[ID]:[ID]]=$A4,0)),""))</f>
        <v>72</v>
      </c>
      <c r="H4" cm="1">
        <f t="array" ref="H4">IFERROR(AVERAGE(_xlfn._xlws.FILTER(Tabla1[[#Data],[AcX]],Tabla1[[ID]:[ID]]=$A4,0)),"")</f>
        <v>12028.333333333334</v>
      </c>
      <c r="I4" cm="1">
        <f t="array" ref="I4">IF(IFERROR(MAX(_xlfn._xlws.FILTER(Tabla1[[#Data],[AcX]],Tabla1[[ID]:[ID]]=$A4,0)),"")=0,"",IFERROR(MAX(_xlfn._xlws.FILTER(Tabla1[[#Data],[AcX]],Tabla1[[ID]:[ID]]=$A4,0)),""))</f>
        <v>17168</v>
      </c>
      <c r="J4" cm="1">
        <f t="array" ref="J4">IF(IFERROR(MIN(_xlfn._xlws.FILTER(Tabla1[[#Data],[AcX]],Tabla1[[ID]:[ID]]=$A4,0)),"")=0,"",IFERROR(MIN(_xlfn._xlws.FILTER(Tabla1[[#Data],[AcX]],Tabla1[[ID]:[ID]]=$A4,0)),""))</f>
        <v>-6724</v>
      </c>
      <c r="K4" cm="1">
        <f t="array" ref="K4">IFERROR(AVERAGE(_xlfn._xlws.FILTER(Tabla1[[#Data],[AcY]],Tabla1[[ID]:[ID]]=$A4,0)),"")</f>
        <v>-3241.3333333333335</v>
      </c>
      <c r="L4" cm="1">
        <f t="array" ref="L4">IF(IFERROR(MAX(_xlfn._xlws.FILTER(Tabla1[[#Data],[AcY]],Tabla1[[ID]:[ID]]=$A4,0)),"")=0,"",IFERROR(MAX(_xlfn._xlws.FILTER(Tabla1[[#Data],[AcY]],Tabla1[[ID]:[ID]]=$A4,0)),""))</f>
        <v>11216</v>
      </c>
      <c r="M4" cm="1">
        <f t="array" ref="M4">IF(IFERROR(MIN(_xlfn._xlws.FILTER(Tabla1[[#Data],[AcY]],Tabla1[[ID]:[ID]]=$A4,0)),"")=0,"",IFERROR(MIN(_xlfn._xlws.FILTER(Tabla1[[#Data],[AcY]],Tabla1[[ID]:[ID]]=$A4,0)),""))</f>
        <v>-14568</v>
      </c>
      <c r="N4" cm="1">
        <f t="array" ref="N4">IFERROR(AVERAGE(_xlfn._xlws.FILTER(Tabla1[[#Data],[AcZ]],Tabla1[[ID]:[ID]]=$A4,0)),"")</f>
        <v>9472</v>
      </c>
      <c r="O4" cm="1">
        <f t="array" ref="O4">IF(IFERROR(MAX(_xlfn._xlws.FILTER(Tabla1[[#Data],[AcZ]],Tabla1[[ID]:[ID]]=$A4,0)),"")=0,"",IFERROR(MAX(_xlfn._xlws.FILTER(Tabla1[[#Data],[AcZ]],Tabla1[[ID]:[ID]]=$A4,0)),""))</f>
        <v>14292</v>
      </c>
      <c r="P4" cm="1">
        <f t="array" ref="P4">IF(IFERROR(MIN(_xlfn._xlws.FILTER(Tabla1[[#Data],[AcZ]],Tabla1[[ID]:[ID]]=$A4,0)),"")=0,"",IFERROR(MIN(_xlfn._xlws.FILTER(Tabla1[[#Data],[AcZ]],Tabla1[[ID]:[ID]]=$A4,0)),""))</f>
        <v>-8804</v>
      </c>
      <c r="Q4" cm="1">
        <f t="array" ref="Q4">IFERROR(AVERAGE(_xlfn._xlws.FILTER(Tabla1[[#Data],[GyX]],Tabla1[[ID]:[ID]]=$A4,0)),"")</f>
        <v>-4068.8333333333335</v>
      </c>
      <c r="R4" cm="1">
        <f t="array" ref="R4">IF(IFERROR(MAX(_xlfn._xlws.FILTER(Tabla1[[#Data],[GyX]],Tabla1[[ID]:[ID]]=$A4,0)),"")=0,"",IFERROR(MAX(_xlfn._xlws.FILTER(Tabla1[[#Data],[GyX]],Tabla1[[ID]:[ID]]=$A4,0)),""))</f>
        <v>10549</v>
      </c>
      <c r="S4" cm="1">
        <f t="array" ref="S4">IF(IFERROR(MIN(_xlfn._xlws.FILTER(Tabla1[[#Data],[GyX]],Tabla1[[ID]:[ID]]=$A4,0)),"")=0,"",IFERROR(MIN(_xlfn._xlws.FILTER(Tabla1[[#Data],[GyX]],Tabla1[[ID]:[ID]]=$A4,0)),""))</f>
        <v>-11803</v>
      </c>
      <c r="T4" cm="1">
        <f t="array" ref="T4">IFERROR(AVERAGE(_xlfn._xlws.FILTER(Tabla1[[#Data],[GyY]],Tabla1[[ID]:[ID]]=$A4,0)),"")</f>
        <v>4307</v>
      </c>
      <c r="U4" cm="1">
        <f t="array" ref="U4">IF(IFERROR(MAX(_xlfn._xlws.FILTER(Tabla1[[#Data],[GyY]],Tabla1[[ID]:[ID]]=$A4,0)),"")=0,"",IFERROR(MAX(_xlfn._xlws.FILTER(Tabla1[[#Data],[GyY]],Tabla1[[ID]:[ID]]=$A4,0)),""))</f>
        <v>32614</v>
      </c>
      <c r="V4" cm="1">
        <f t="array" ref="V4">IF(IFERROR(MIN(_xlfn._xlws.FILTER(Tabla1[[#Data],[GyY]],Tabla1[[ID]:[ID]]=$A4,0)),"")=0,"",IFERROR(MIN(_xlfn._xlws.FILTER(Tabla1[[#Data],[GyY]],Tabla1[[ID]:[ID]]=$A4,0)),""))</f>
        <v>-21952</v>
      </c>
      <c r="W4" cm="1">
        <f t="array" ref="W4">IFERROR(AVERAGE(_xlfn._xlws.FILTER(Tabla1[[#Data],[GyZ]],Tabla1[[ID]:[ID]]=$A4,0)),"")</f>
        <v>-4941.25</v>
      </c>
      <c r="X4" cm="1">
        <f t="array" ref="X4">IF(IFERROR(MAX(_xlfn._xlws.FILTER(Tabla1[[#Data],[GyZ]],Tabla1[[ID]:[ID]]=$A4,0)),"")=0,"",IFERROR(MAX(_xlfn._xlws.FILTER(Tabla1[[#Data],[GyZ]],Tabla1[[ID]:[ID]]=$A4,0)),""))</f>
        <v>11912</v>
      </c>
      <c r="Y4" cm="1">
        <f t="array" ref="Y4">IF(IFERROR(MIN(_xlfn._xlws.FILTER(Tabla1[[#Data],[GyZ]],Tabla1[[ID]:[ID]]=$A4,0)),"")=0,"",IFERROR(MIN(_xlfn._xlws.FILTER(Tabla1[[#Data],[GyZ]],Tabla1[[ID]:[ID]]=$A4,0)),""))</f>
        <v>-22204</v>
      </c>
      <c r="Z4" cm="1">
        <f t="array" ref="Z4">IF(ISNUMBER(A4),IF(ISNUMBER(MATCH(1,_xlfn._xlws.FILTER(Tabla1[[#Data],[Open]],Tabla1[[ID]:[ID]]=$A4,""),0)),1,0),"")</f>
        <v>1</v>
      </c>
      <c r="AA4">
        <f t="shared" si="0"/>
        <v>0</v>
      </c>
      <c r="AB4">
        <f t="shared" si="1"/>
        <v>1</v>
      </c>
      <c r="AC4">
        <f t="shared" si="2"/>
        <v>1</v>
      </c>
      <c r="AD4">
        <f t="shared" si="3"/>
        <v>0</v>
      </c>
      <c r="AE4">
        <f t="shared" si="4"/>
        <v>0</v>
      </c>
      <c r="AF4">
        <f t="shared" si="5"/>
        <v>0</v>
      </c>
      <c r="AG4">
        <f t="shared" si="6"/>
        <v>0</v>
      </c>
      <c r="AH4">
        <f t="shared" si="7"/>
        <v>0</v>
      </c>
      <c r="AI4">
        <f t="shared" si="8"/>
        <v>0</v>
      </c>
      <c r="AJ4">
        <f t="shared" si="9"/>
        <v>0</v>
      </c>
    </row>
    <row r="5" spans="1:47" x14ac:dyDescent="0.35">
      <c r="A5">
        <v>4</v>
      </c>
      <c r="B5" cm="1">
        <f t="array" ref="B5">IFERROR(AVERAGE(_xlfn._xlws.FILTER(Tabla1[[#Data],[Temperatura]],Tabla1[[ID]:[ID]]=$A5,0)),"")</f>
        <v>29.988888888888894</v>
      </c>
      <c r="C5" cm="1">
        <f t="array" ref="C5">IF(IFERROR(MAX(_xlfn._xlws.FILTER(Tabla1[[#Data],[Temperatura]],Tabla1[[ID]:[ID]]=$A5,0)),"")=0,"",IFERROR(MAX(_xlfn._xlws.FILTER(Tabla1[[#Data],[Temperatura]],Tabla1[[ID]:[ID]]=$A5,0)),""))</f>
        <v>30.1</v>
      </c>
      <c r="D5" cm="1">
        <f t="array" ref="D5">IF(IFERROR(MIN(_xlfn._xlws.FILTER(Tabla1[[#Data],[Temperatura]],Tabla1[[ID]:[ID]]=$A5,0)),"")=0,"",IFERROR(MIN(_xlfn._xlws.FILTER(Tabla1[[#Data],[Temperatura]],Tabla1[[ID]:[ID]]=$A5,0)),""))</f>
        <v>29.8</v>
      </c>
      <c r="E5" cm="1">
        <f t="array" ref="E5">IFERROR(AVERAGE(_xlfn._xlws.FILTER(Tabla1[[#Data],[Humidade]],Tabla1[[ID]:[ID]]=$A5,0)),"")</f>
        <v>70.222222222222229</v>
      </c>
      <c r="F5" cm="1">
        <f t="array" ref="F5">IF(IFERROR(MAX(_xlfn._xlws.FILTER(Tabla1[[#Data],[Humidade]],Tabla1[[ID]:[ID]]=$A5,0)),"")=0,"",IFERROR(MAX(_xlfn._xlws.FILTER(Tabla1[[#Data],[Humidade]],Tabla1[[ID]:[ID]]=$A5,0)),""))</f>
        <v>74</v>
      </c>
      <c r="G5" cm="1">
        <f t="array" ref="G5">IF(IFERROR(MIN(_xlfn._xlws.FILTER(Tabla1[[#Data],[Humidade]],Tabla1[[ID]:[ID]]=$A5,0)),"")=0,"",IFERROR(MIN(_xlfn._xlws.FILTER(Tabla1[[#Data],[Humidade]],Tabla1[[ID]:[ID]]=$A5,0)),""))</f>
        <v>70</v>
      </c>
      <c r="H5" cm="1">
        <f t="array" ref="H5">IFERROR(AVERAGE(_xlfn._xlws.FILTER(Tabla1[[#Data],[AcX]],Tabla1[[ID]:[ID]]=$A5,0)),"")</f>
        <v>7144.2222222222226</v>
      </c>
      <c r="I5" cm="1">
        <f t="array" ref="I5">IF(IFERROR(MAX(_xlfn._xlws.FILTER(Tabla1[[#Data],[AcX]],Tabla1[[ID]:[ID]]=$A5,0)),"")=0,"",IFERROR(MAX(_xlfn._xlws.FILTER(Tabla1[[#Data],[AcX]],Tabla1[[ID]:[ID]]=$A5,0)),""))</f>
        <v>9364</v>
      </c>
      <c r="J5" cm="1">
        <f t="array" ref="J5">IF(IFERROR(MIN(_xlfn._xlws.FILTER(Tabla1[[#Data],[AcX]],Tabla1[[ID]:[ID]]=$A5,0)),"")=0,"",IFERROR(MIN(_xlfn._xlws.FILTER(Tabla1[[#Data],[AcX]],Tabla1[[ID]:[ID]]=$A5,0)),""))</f>
        <v>6936</v>
      </c>
      <c r="K5" cm="1">
        <f t="array" ref="K5">IFERROR(AVERAGE(_xlfn._xlws.FILTER(Tabla1[[#Data],[AcY]],Tabla1[[ID]:[ID]]=$A5,0)),"")</f>
        <v>-2976.8888888888887</v>
      </c>
      <c r="L5" cm="1">
        <f t="array" ref="L5">IF(IFERROR(MAX(_xlfn._xlws.FILTER(Tabla1[[#Data],[AcY]],Tabla1[[ID]:[ID]]=$A5,0)),"")=0,"",IFERROR(MAX(_xlfn._xlws.FILTER(Tabla1[[#Data],[AcY]],Tabla1[[ID]:[ID]]=$A5,0)),""))</f>
        <v>-2848</v>
      </c>
      <c r="M5" cm="1">
        <f t="array" ref="M5">IF(IFERROR(MIN(_xlfn._xlws.FILTER(Tabla1[[#Data],[AcY]],Tabla1[[ID]:[ID]]=$A5,0)),"")=0,"",IFERROR(MIN(_xlfn._xlws.FILTER(Tabla1[[#Data],[AcY]],Tabla1[[ID]:[ID]]=$A5,0)),""))</f>
        <v>-4120</v>
      </c>
      <c r="N5" cm="1">
        <f t="array" ref="N5">IFERROR(AVERAGE(_xlfn._xlws.FILTER(Tabla1[[#Data],[AcZ]],Tabla1[[ID]:[ID]]=$A5,0)),"")</f>
        <v>13160.222222222223</v>
      </c>
      <c r="O5" cm="1">
        <f t="array" ref="O5">IF(IFERROR(MAX(_xlfn._xlws.FILTER(Tabla1[[#Data],[AcZ]],Tabla1[[ID]:[ID]]=$A5,0)),"")=0,"",IFERROR(MAX(_xlfn._xlws.FILTER(Tabla1[[#Data],[AcZ]],Tabla1[[ID]:[ID]]=$A5,0)),""))</f>
        <v>13508</v>
      </c>
      <c r="P5" cm="1">
        <f t="array" ref="P5">IF(IFERROR(MIN(_xlfn._xlws.FILTER(Tabla1[[#Data],[AcZ]],Tabla1[[ID]:[ID]]=$A5,0)),"")=0,"",IFERROR(MIN(_xlfn._xlws.FILTER(Tabla1[[#Data],[AcZ]],Tabla1[[ID]:[ID]]=$A5,0)),""))</f>
        <v>12980</v>
      </c>
      <c r="Q5" cm="1">
        <f t="array" ref="Q5">IFERROR(AVERAGE(_xlfn._xlws.FILTER(Tabla1[[#Data],[GyX]],Tabla1[[ID]:[ID]]=$A5,0)),"")</f>
        <v>-292.22222222222223</v>
      </c>
      <c r="R5" cm="1">
        <f t="array" ref="R5">IF(IFERROR(MAX(_xlfn._xlws.FILTER(Tabla1[[#Data],[GyX]],Tabla1[[ID]:[ID]]=$A5,0)),"")=0,"",IFERROR(MAX(_xlfn._xlws.FILTER(Tabla1[[#Data],[GyX]],Tabla1[[ID]:[ID]]=$A5,0)),""))</f>
        <v>-188</v>
      </c>
      <c r="S5" cm="1">
        <f t="array" ref="S5">IF(IFERROR(MIN(_xlfn._xlws.FILTER(Tabla1[[#Data],[GyX]],Tabla1[[ID]:[ID]]=$A5,0)),"")=0,"",IFERROR(MIN(_xlfn._xlws.FILTER(Tabla1[[#Data],[GyX]],Tabla1[[ID]:[ID]]=$A5,0)),""))</f>
        <v>-1836</v>
      </c>
      <c r="T5" cm="1">
        <f t="array" ref="T5">IFERROR(AVERAGE(_xlfn._xlws.FILTER(Tabla1[[#Data],[GyY]],Tabla1[[ID]:[ID]]=$A5,0)),"")</f>
        <v>498.11111111111109</v>
      </c>
      <c r="U5" cm="1">
        <f t="array" ref="U5">IF(IFERROR(MAX(_xlfn._xlws.FILTER(Tabla1[[#Data],[GyY]],Tabla1[[ID]:[ID]]=$A5,0)),"")=0,"",IFERROR(MAX(_xlfn._xlws.FILTER(Tabla1[[#Data],[GyY]],Tabla1[[ID]:[ID]]=$A5,0)),""))</f>
        <v>4251</v>
      </c>
      <c r="V5" cm="1">
        <f t="array" ref="V5">IF(IFERROR(MIN(_xlfn._xlws.FILTER(Tabla1[[#Data],[GyY]],Tabla1[[ID]:[ID]]=$A5,0)),"")=0,"",IFERROR(MIN(_xlfn._xlws.FILTER(Tabla1[[#Data],[GyY]],Tabla1[[ID]:[ID]]=$A5,0)),""))</f>
        <v>253</v>
      </c>
      <c r="W5" cm="1">
        <f t="array" ref="W5">IFERROR(AVERAGE(_xlfn._xlws.FILTER(Tabla1[[#Data],[GyZ]],Tabla1[[ID]:[ID]]=$A5,0)),"")</f>
        <v>-253.61111111111111</v>
      </c>
      <c r="X5" cm="1">
        <f t="array" ref="X5">IF(IFERROR(MAX(_xlfn._xlws.FILTER(Tabla1[[#Data],[GyZ]],Tabla1[[ID]:[ID]]=$A5,0)),"")=0,"",IFERROR(MAX(_xlfn._xlws.FILTER(Tabla1[[#Data],[GyZ]],Tabla1[[ID]:[ID]]=$A5,0)),""))</f>
        <v>-226</v>
      </c>
      <c r="Y5" cm="1">
        <f t="array" ref="Y5">IF(IFERROR(MIN(_xlfn._xlws.FILTER(Tabla1[[#Data],[GyZ]],Tabla1[[ID]:[ID]]=$A5,0)),"")=0,"",IFERROR(MIN(_xlfn._xlws.FILTER(Tabla1[[#Data],[GyZ]],Tabla1[[ID]:[ID]]=$A5,0)),""))</f>
        <v>-457</v>
      </c>
      <c r="Z5" cm="1">
        <f t="array" ref="Z5">IF(ISNUMBER(A5),IF(ISNUMBER(MATCH(1,_xlfn._xlws.FILTER(Tabla1[[#Data],[Open]],Tabla1[[ID]:[ID]]=$A5,""),0)),1,0),"")</f>
        <v>1</v>
      </c>
      <c r="AA5">
        <f t="shared" si="0"/>
        <v>0</v>
      </c>
      <c r="AB5">
        <f t="shared" si="1"/>
        <v>1</v>
      </c>
      <c r="AC5">
        <f t="shared" si="2"/>
        <v>1</v>
      </c>
      <c r="AD5">
        <f t="shared" si="3"/>
        <v>1</v>
      </c>
      <c r="AE5">
        <f t="shared" si="4"/>
        <v>1</v>
      </c>
      <c r="AF5">
        <f t="shared" si="5"/>
        <v>1</v>
      </c>
      <c r="AG5">
        <f t="shared" si="6"/>
        <v>1</v>
      </c>
      <c r="AH5">
        <f t="shared" si="7"/>
        <v>0</v>
      </c>
      <c r="AI5">
        <f t="shared" si="8"/>
        <v>1</v>
      </c>
      <c r="AJ5">
        <f t="shared" si="9"/>
        <v>0</v>
      </c>
    </row>
    <row r="6" spans="1:47" x14ac:dyDescent="0.35">
      <c r="A6">
        <v>5</v>
      </c>
      <c r="B6" cm="1">
        <f t="array" ref="B6">IFERROR(AVERAGE(_xlfn._xlws.FILTER(Tabla1[[#Data],[Temperatura]],Tabla1[[ID]:[ID]]=$A6,0)),"")</f>
        <v>30.121428571428591</v>
      </c>
      <c r="C6" cm="1">
        <f t="array" ref="C6">IF(IFERROR(MAX(_xlfn._xlws.FILTER(Tabla1[[#Data],[Temperatura]],Tabla1[[ID]:[ID]]=$A6,0)),"")=0,"",IFERROR(MAX(_xlfn._xlws.FILTER(Tabla1[[#Data],[Temperatura]],Tabla1[[ID]:[ID]]=$A6,0)),""))</f>
        <v>30.3</v>
      </c>
      <c r="D6" cm="1">
        <f t="array" ref="D6">IF(IFERROR(MIN(_xlfn._xlws.FILTER(Tabla1[[#Data],[Temperatura]],Tabla1[[ID]:[ID]]=$A6,0)),"")=0,"",IFERROR(MIN(_xlfn._xlws.FILTER(Tabla1[[#Data],[Temperatura]],Tabla1[[ID]:[ID]]=$A6,0)),""))</f>
        <v>29.9</v>
      </c>
      <c r="E6" cm="1">
        <f t="array" ref="E6">IFERROR(AVERAGE(_xlfn._xlws.FILTER(Tabla1[[#Data],[Humidade]],Tabla1[[ID]:[ID]]=$A6,0)),"")</f>
        <v>69.517857142857139</v>
      </c>
      <c r="F6" cm="1">
        <f t="array" ref="F6">IF(IFERROR(MAX(_xlfn._xlws.FILTER(Tabla1[[#Data],[Humidade]],Tabla1[[ID]:[ID]]=$A6,0)),"")=0,"",IFERROR(MAX(_xlfn._xlws.FILTER(Tabla1[[#Data],[Humidade]],Tabla1[[ID]:[ID]]=$A6,0)),""))</f>
        <v>74</v>
      </c>
      <c r="G6" cm="1">
        <f t="array" ref="G6">IF(IFERROR(MIN(_xlfn._xlws.FILTER(Tabla1[[#Data],[Humidade]],Tabla1[[ID]:[ID]]=$A6,0)),"")=0,"",IFERROR(MIN(_xlfn._xlws.FILTER(Tabla1[[#Data],[Humidade]],Tabla1[[ID]:[ID]]=$A6,0)),""))</f>
        <v>69</v>
      </c>
      <c r="H6" cm="1">
        <f t="array" ref="H6">IFERROR(AVERAGE(_xlfn._xlws.FILTER(Tabla1[[#Data],[AcX]],Tabla1[[ID]:[ID]]=$A6,0)),"")</f>
        <v>7032</v>
      </c>
      <c r="I6" cm="1">
        <f t="array" ref="I6">IF(IFERROR(MAX(_xlfn._xlws.FILTER(Tabla1[[#Data],[AcX]],Tabla1[[ID]:[ID]]=$A6,0)),"")=0,"",IFERROR(MAX(_xlfn._xlws.FILTER(Tabla1[[#Data],[AcX]],Tabla1[[ID]:[ID]]=$A6,0)),""))</f>
        <v>7372</v>
      </c>
      <c r="J6" cm="1">
        <f t="array" ref="J6">IF(IFERROR(MIN(_xlfn._xlws.FILTER(Tabla1[[#Data],[AcX]],Tabla1[[ID]:[ID]]=$A6,0)),"")=0,"",IFERROR(MIN(_xlfn._xlws.FILTER(Tabla1[[#Data],[AcX]],Tabla1[[ID]:[ID]]=$A6,0)),""))</f>
        <v>6900</v>
      </c>
      <c r="K6" cm="1">
        <f t="array" ref="K6">IFERROR(AVERAGE(_xlfn._xlws.FILTER(Tabla1[[#Data],[AcY]],Tabla1[[ID]:[ID]]=$A6,0)),"")</f>
        <v>-2897.8571428571427</v>
      </c>
      <c r="L6" cm="1">
        <f t="array" ref="L6">IF(IFERROR(MAX(_xlfn._xlws.FILTER(Tabla1[[#Data],[AcY]],Tabla1[[ID]:[ID]]=$A6,0)),"")=0,"",IFERROR(MAX(_xlfn._xlws.FILTER(Tabla1[[#Data],[AcY]],Tabla1[[ID]:[ID]]=$A6,0)),""))</f>
        <v>-2800</v>
      </c>
      <c r="M6" cm="1">
        <f t="array" ref="M6">IF(IFERROR(MIN(_xlfn._xlws.FILTER(Tabla1[[#Data],[AcY]],Tabla1[[ID]:[ID]]=$A6,0)),"")=0,"",IFERROR(MIN(_xlfn._xlws.FILTER(Tabla1[[#Data],[AcY]],Tabla1[[ID]:[ID]]=$A6,0)),""))</f>
        <v>-3124</v>
      </c>
      <c r="N6" cm="1">
        <f t="array" ref="N6">IFERROR(AVERAGE(_xlfn._xlws.FILTER(Tabla1[[#Data],[AcZ]],Tabla1[[ID]:[ID]]=$A6,0)),"")</f>
        <v>13170.428571428571</v>
      </c>
      <c r="O6" cm="1">
        <f t="array" ref="O6">IF(IFERROR(MAX(_xlfn._xlws.FILTER(Tabla1[[#Data],[AcZ]],Tabla1[[ID]:[ID]]=$A6,0)),"")=0,"",IFERROR(MAX(_xlfn._xlws.FILTER(Tabla1[[#Data],[AcZ]],Tabla1[[ID]:[ID]]=$A6,0)),""))</f>
        <v>13956</v>
      </c>
      <c r="P6" cm="1">
        <f t="array" ref="P6">IF(IFERROR(MIN(_xlfn._xlws.FILTER(Tabla1[[#Data],[AcZ]],Tabla1[[ID]:[ID]]=$A6,0)),"")=0,"",IFERROR(MIN(_xlfn._xlws.FILTER(Tabla1[[#Data],[AcZ]],Tabla1[[ID]:[ID]]=$A6,0)),""))</f>
        <v>12988</v>
      </c>
      <c r="Q6" cm="1">
        <f t="array" ref="Q6">IFERROR(AVERAGE(_xlfn._xlws.FILTER(Tabla1[[#Data],[GyX]],Tabla1[[ID]:[ID]]=$A6,0)),"")</f>
        <v>-222.25</v>
      </c>
      <c r="R6" cm="1">
        <f t="array" ref="R6">IF(IFERROR(MAX(_xlfn._xlws.FILTER(Tabla1[[#Data],[GyX]],Tabla1[[ID]:[ID]]=$A6,0)),"")=0,"",IFERROR(MAX(_xlfn._xlws.FILTER(Tabla1[[#Data],[GyX]],Tabla1[[ID]:[ID]]=$A6,0)),""))</f>
        <v>-168</v>
      </c>
      <c r="S6" cm="1">
        <f t="array" ref="S6">IF(IFERROR(MIN(_xlfn._xlws.FILTER(Tabla1[[#Data],[GyX]],Tabla1[[ID]:[ID]]=$A6,0)),"")=0,"",IFERROR(MIN(_xlfn._xlws.FILTER(Tabla1[[#Data],[GyX]],Tabla1[[ID]:[ID]]=$A6,0)),""))</f>
        <v>-787</v>
      </c>
      <c r="T6" cm="1">
        <f t="array" ref="T6">IFERROR(AVERAGE(_xlfn._xlws.FILTER(Tabla1[[#Data],[GyY]],Tabla1[[ID]:[ID]]=$A6,0)),"")</f>
        <v>266.875</v>
      </c>
      <c r="U6" cm="1">
        <f t="array" ref="U6">IF(IFERROR(MAX(_xlfn._xlws.FILTER(Tabla1[[#Data],[GyY]],Tabla1[[ID]:[ID]]=$A6,0)),"")=0,"",IFERROR(MAX(_xlfn._xlws.FILTER(Tabla1[[#Data],[GyY]],Tabla1[[ID]:[ID]]=$A6,0)),""))</f>
        <v>571</v>
      </c>
      <c r="V6" cm="1">
        <f t="array" ref="V6">IF(IFERROR(MIN(_xlfn._xlws.FILTER(Tabla1[[#Data],[GyY]],Tabla1[[ID]:[ID]]=$A6,0)),"")=0,"",IFERROR(MIN(_xlfn._xlws.FILTER(Tabla1[[#Data],[GyY]],Tabla1[[ID]:[ID]]=$A6,0)),""))</f>
        <v>-458</v>
      </c>
      <c r="W6" cm="1">
        <f t="array" ref="W6">IFERROR(AVERAGE(_xlfn._xlws.FILTER(Tabla1[[#Data],[GyZ]],Tabla1[[ID]:[ID]]=$A6,0)),"")</f>
        <v>-257.33928571428572</v>
      </c>
      <c r="X6" cm="1">
        <f t="array" ref="X6">IF(IFERROR(MAX(_xlfn._xlws.FILTER(Tabla1[[#Data],[GyZ]],Tabla1[[ID]:[ID]]=$A6,0)),"")=0,"",IFERROR(MAX(_xlfn._xlws.FILTER(Tabla1[[#Data],[GyZ]],Tabla1[[ID]:[ID]]=$A6,0)),""))</f>
        <v>-219</v>
      </c>
      <c r="Y6" cm="1">
        <f t="array" ref="Y6">IF(IFERROR(MIN(_xlfn._xlws.FILTER(Tabla1[[#Data],[GyZ]],Tabla1[[ID]:[ID]]=$A6,0)),"")=0,"",IFERROR(MIN(_xlfn._xlws.FILTER(Tabla1[[#Data],[GyZ]],Tabla1[[ID]:[ID]]=$A6,0)),""))</f>
        <v>-1205</v>
      </c>
      <c r="Z6" cm="1">
        <f t="array" ref="Z6">IF(ISNUMBER(A6),IF(ISNUMBER(MATCH(1,_xlfn._xlws.FILTER(Tabla1[[#Data],[Open]],Tabla1[[ID]:[ID]]=$A6,""),0)),1,0),"")</f>
        <v>0</v>
      </c>
      <c r="AA6">
        <f t="shared" si="0"/>
        <v>1</v>
      </c>
      <c r="AB6">
        <f t="shared" si="1"/>
        <v>1</v>
      </c>
      <c r="AC6">
        <f t="shared" si="2"/>
        <v>1</v>
      </c>
      <c r="AD6">
        <f t="shared" si="3"/>
        <v>1</v>
      </c>
      <c r="AE6">
        <f t="shared" si="4"/>
        <v>1</v>
      </c>
      <c r="AF6">
        <f t="shared" si="5"/>
        <v>1</v>
      </c>
      <c r="AG6">
        <f t="shared" si="6"/>
        <v>1</v>
      </c>
      <c r="AH6">
        <f t="shared" si="7"/>
        <v>1</v>
      </c>
      <c r="AI6">
        <f t="shared" si="8"/>
        <v>1</v>
      </c>
      <c r="AJ6">
        <f t="shared" si="9"/>
        <v>1</v>
      </c>
    </row>
    <row r="7" spans="1:47" x14ac:dyDescent="0.35">
      <c r="A7">
        <v>6</v>
      </c>
      <c r="B7" cm="1">
        <f t="array" ref="B7">IFERROR(AVERAGE(_xlfn._xlws.FILTER(Tabla1[[#Data],[Temperatura]],Tabla1[[ID]:[ID]]=$A7,0)),"")</f>
        <v>30.800000000000008</v>
      </c>
      <c r="C7" cm="1">
        <f t="array" ref="C7">IF(IFERROR(MAX(_xlfn._xlws.FILTER(Tabla1[[#Data],[Temperatura]],Tabla1[[ID]:[ID]]=$A7,0)),"")=0,"",IFERROR(MAX(_xlfn._xlws.FILTER(Tabla1[[#Data],[Temperatura]],Tabla1[[ID]:[ID]]=$A7,0)),""))</f>
        <v>30.8</v>
      </c>
      <c r="D7" cm="1">
        <f t="array" ref="D7">IF(IFERROR(MIN(_xlfn._xlws.FILTER(Tabla1[[#Data],[Temperatura]],Tabla1[[ID]:[ID]]=$A7,0)),"")=0,"",IFERROR(MIN(_xlfn._xlws.FILTER(Tabla1[[#Data],[Temperatura]],Tabla1[[ID]:[ID]]=$A7,0)),""))</f>
        <v>30.8</v>
      </c>
      <c r="E7" cm="1">
        <f t="array" ref="E7">IFERROR(AVERAGE(_xlfn._xlws.FILTER(Tabla1[[#Data],[Humidade]],Tabla1[[ID]:[ID]]=$A7,0)),"")</f>
        <v>73.166666666666671</v>
      </c>
      <c r="F7" cm="1">
        <f t="array" ref="F7">IF(IFERROR(MAX(_xlfn._xlws.FILTER(Tabla1[[#Data],[Humidade]],Tabla1[[ID]:[ID]]=$A7,0)),"")=0,"",IFERROR(MAX(_xlfn._xlws.FILTER(Tabla1[[#Data],[Humidade]],Tabla1[[ID]:[ID]]=$A7,0)),""))</f>
        <v>74</v>
      </c>
      <c r="G7" cm="1">
        <f t="array" ref="G7">IF(IFERROR(MIN(_xlfn._xlws.FILTER(Tabla1[[#Data],[Humidade]],Tabla1[[ID]:[ID]]=$A7,0)),"")=0,"",IFERROR(MIN(_xlfn._xlws.FILTER(Tabla1[[#Data],[Humidade]],Tabla1[[ID]:[ID]]=$A7,0)),""))</f>
        <v>72</v>
      </c>
      <c r="H7" cm="1">
        <f t="array" ref="H7">IFERROR(AVERAGE(_xlfn._xlws.FILTER(Tabla1[[#Data],[AcX]],Tabla1[[ID]:[ID]]=$A7,0)),"")</f>
        <v>10519.666666666666</v>
      </c>
      <c r="I7" cm="1">
        <f t="array" ref="I7">IF(IFERROR(MAX(_xlfn._xlws.FILTER(Tabla1[[#Data],[AcX]],Tabla1[[ID]:[ID]]=$A7,0)),"")=0,"",IFERROR(MAX(_xlfn._xlws.FILTER(Tabla1[[#Data],[AcX]],Tabla1[[ID]:[ID]]=$A7,0)),""))</f>
        <v>16164</v>
      </c>
      <c r="J7" cm="1">
        <f t="array" ref="J7">IF(IFERROR(MIN(_xlfn._xlws.FILTER(Tabla1[[#Data],[AcX]],Tabla1[[ID]:[ID]]=$A7,0)),"")=0,"",IFERROR(MIN(_xlfn._xlws.FILTER(Tabla1[[#Data],[AcX]],Tabla1[[ID]:[ID]]=$A7,0)),""))</f>
        <v>8652</v>
      </c>
      <c r="K7" cm="1">
        <f t="array" ref="K7">IFERROR(AVERAGE(_xlfn._xlws.FILTER(Tabla1[[#Data],[AcY]],Tabla1[[ID]:[ID]]=$A7,0)),"")</f>
        <v>-1326.3333333333333</v>
      </c>
      <c r="L7" cm="1">
        <f t="array" ref="L7">IF(IFERROR(MAX(_xlfn._xlws.FILTER(Tabla1[[#Data],[AcY]],Tabla1[[ID]:[ID]]=$A7,0)),"")=0,"",IFERROR(MAX(_xlfn._xlws.FILTER(Tabla1[[#Data],[AcY]],Tabla1[[ID]:[ID]]=$A7,0)),""))</f>
        <v>-1032</v>
      </c>
      <c r="M7" cm="1">
        <f t="array" ref="M7">IF(IFERROR(MIN(_xlfn._xlws.FILTER(Tabla1[[#Data],[AcY]],Tabla1[[ID]:[ID]]=$A7,0)),"")=0,"",IFERROR(MIN(_xlfn._xlws.FILTER(Tabla1[[#Data],[AcY]],Tabla1[[ID]:[ID]]=$A7,0)),""))</f>
        <v>-2424</v>
      </c>
      <c r="N7" cm="1">
        <f t="array" ref="N7">IFERROR(AVERAGE(_xlfn._xlws.FILTER(Tabla1[[#Data],[AcZ]],Tabla1[[ID]:[ID]]=$A7,0)),"")</f>
        <v>12663.666666666666</v>
      </c>
      <c r="O7" cm="1">
        <f t="array" ref="O7">IF(IFERROR(MAX(_xlfn._xlws.FILTER(Tabla1[[#Data],[AcZ]],Tabla1[[ID]:[ID]]=$A7,0)),"")=0,"",IFERROR(MAX(_xlfn._xlws.FILTER(Tabla1[[#Data],[AcZ]],Tabla1[[ID]:[ID]]=$A7,0)),""))</f>
        <v>15856</v>
      </c>
      <c r="P7" cm="1">
        <f t="array" ref="P7">IF(IFERROR(MIN(_xlfn._xlws.FILTER(Tabla1[[#Data],[AcZ]],Tabla1[[ID]:[ID]]=$A7,0)),"")=0,"",IFERROR(MIN(_xlfn._xlws.FILTER(Tabla1[[#Data],[AcZ]],Tabla1[[ID]:[ID]]=$A7,0)),""))</f>
        <v>11760</v>
      </c>
      <c r="Q7" cm="1">
        <f t="array" ref="Q7">IFERROR(AVERAGE(_xlfn._xlws.FILTER(Tabla1[[#Data],[GyX]],Tabla1[[ID]:[ID]]=$A7,0)),"")</f>
        <v>-204.25</v>
      </c>
      <c r="R7" cm="1">
        <f t="array" ref="R7">IF(IFERROR(MAX(_xlfn._xlws.FILTER(Tabla1[[#Data],[GyX]],Tabla1[[ID]:[ID]]=$A7,0)),"")=0,"",IFERROR(MAX(_xlfn._xlws.FILTER(Tabla1[[#Data],[GyX]],Tabla1[[ID]:[ID]]=$A7,0)),""))</f>
        <v>2799</v>
      </c>
      <c r="S7" cm="1">
        <f t="array" ref="S7">IF(IFERROR(MIN(_xlfn._xlws.FILTER(Tabla1[[#Data],[GyX]],Tabla1[[ID]:[ID]]=$A7,0)),"")=0,"",IFERROR(MIN(_xlfn._xlws.FILTER(Tabla1[[#Data],[GyX]],Tabla1[[ID]:[ID]]=$A7,0)),""))</f>
        <v>-2036</v>
      </c>
      <c r="T7" cm="1">
        <f t="array" ref="T7">IFERROR(AVERAGE(_xlfn._xlws.FILTER(Tabla1[[#Data],[GyY]],Tabla1[[ID]:[ID]]=$A7,0)),"")</f>
        <v>254.5</v>
      </c>
      <c r="U7" cm="1">
        <f t="array" ref="U7">IF(IFERROR(MAX(_xlfn._xlws.FILTER(Tabla1[[#Data],[GyY]],Tabla1[[ID]:[ID]]=$A7,0)),"")=0,"",IFERROR(MAX(_xlfn._xlws.FILTER(Tabla1[[#Data],[GyY]],Tabla1[[ID]:[ID]]=$A7,0)),""))</f>
        <v>12555</v>
      </c>
      <c r="V7" cm="1">
        <f t="array" ref="V7">IF(IFERROR(MIN(_xlfn._xlws.FILTER(Tabla1[[#Data],[GyY]],Tabla1[[ID]:[ID]]=$A7,0)),"")=0,"",IFERROR(MIN(_xlfn._xlws.FILTER(Tabla1[[#Data],[GyY]],Tabla1[[ID]:[ID]]=$A7,0)),""))</f>
        <v>-10383</v>
      </c>
      <c r="W7" cm="1">
        <f t="array" ref="W7">IFERROR(AVERAGE(_xlfn._xlws.FILTER(Tabla1[[#Data],[GyZ]],Tabla1[[ID]:[ID]]=$A7,0)),"")</f>
        <v>-1243.5833333333333</v>
      </c>
      <c r="X7" cm="1">
        <f t="array" ref="X7">IF(IFERROR(MAX(_xlfn._xlws.FILTER(Tabla1[[#Data],[GyZ]],Tabla1[[ID]:[ID]]=$A7,0)),"")=0,"",IFERROR(MAX(_xlfn._xlws.FILTER(Tabla1[[#Data],[GyZ]],Tabla1[[ID]:[ID]]=$A7,0)),""))</f>
        <v>-227</v>
      </c>
      <c r="Y7" cm="1">
        <f t="array" ref="Y7">IF(IFERROR(MIN(_xlfn._xlws.FILTER(Tabla1[[#Data],[GyZ]],Tabla1[[ID]:[ID]]=$A7,0)),"")=0,"",IFERROR(MIN(_xlfn._xlws.FILTER(Tabla1[[#Data],[GyZ]],Tabla1[[ID]:[ID]]=$A7,0)),""))</f>
        <v>-6607</v>
      </c>
      <c r="Z7" cm="1">
        <f t="array" ref="Z7">IF(ISNUMBER(A7),IF(ISNUMBER(MATCH(1,_xlfn._xlws.FILTER(Tabla1[[#Data],[Open]],Tabla1[[ID]:[ID]]=$A7,""))),1,0),"")</f>
        <v>1</v>
      </c>
      <c r="AA7">
        <f t="shared" si="0"/>
        <v>0</v>
      </c>
      <c r="AB7">
        <f t="shared" si="1"/>
        <v>1</v>
      </c>
      <c r="AC7">
        <f t="shared" si="2"/>
        <v>1</v>
      </c>
      <c r="AD7">
        <f t="shared" si="3"/>
        <v>0</v>
      </c>
      <c r="AE7">
        <f t="shared" si="4"/>
        <v>1</v>
      </c>
      <c r="AF7">
        <f t="shared" si="5"/>
        <v>1</v>
      </c>
      <c r="AG7">
        <f t="shared" si="6"/>
        <v>0</v>
      </c>
      <c r="AH7">
        <f t="shared" si="7"/>
        <v>0</v>
      </c>
      <c r="AI7">
        <f t="shared" si="8"/>
        <v>0</v>
      </c>
      <c r="AJ7">
        <f t="shared" si="9"/>
        <v>0</v>
      </c>
    </row>
    <row r="8" spans="1:47" x14ac:dyDescent="0.35">
      <c r="A8">
        <v>7</v>
      </c>
      <c r="B8" cm="1">
        <f t="array" ref="B8">IFERROR(AVERAGE(_xlfn._xlws.FILTER(Tabla1[[#Data],[Temperatura]],Tabla1[[ID]:[ID]]=$A8,0)),"")</f>
        <v>30.372222222222224</v>
      </c>
      <c r="C8" cm="1">
        <f t="array" ref="C8">IF(IFERROR(MAX(_xlfn._xlws.FILTER(Tabla1[[#Data],[Temperatura]],Tabla1[[ID]:[ID]]=$A8,0)),"")=0,"",IFERROR(MAX(_xlfn._xlws.FILTER(Tabla1[[#Data],[Temperatura]],Tabla1[[ID]:[ID]]=$A8,0)),""))</f>
        <v>30.6</v>
      </c>
      <c r="D8" cm="1">
        <f t="array" ref="D8">IF(IFERROR(MIN(_xlfn._xlws.FILTER(Tabla1[[#Data],[Temperatura]],Tabla1[[ID]:[ID]]=$A8,0)),"")=0,"",IFERROR(MIN(_xlfn._xlws.FILTER(Tabla1[[#Data],[Temperatura]],Tabla1[[ID]:[ID]]=$A8,0)),""))</f>
        <v>30</v>
      </c>
      <c r="E8" cm="1">
        <f t="array" ref="E8">IFERROR(AVERAGE(_xlfn._xlws.FILTER(Tabla1[[#Data],[Humidade]],Tabla1[[ID]:[ID]]=$A8,0)),"")</f>
        <v>75.888888888888886</v>
      </c>
      <c r="F8" cm="1">
        <f t="array" ref="F8">IF(IFERROR(MAX(_xlfn._xlws.FILTER(Tabla1[[#Data],[Humidade]],Tabla1[[ID]:[ID]]=$A8,0)),"")=0,"",IFERROR(MAX(_xlfn._xlws.FILTER(Tabla1[[#Data],[Humidade]],Tabla1[[ID]:[ID]]=$A8,0)),""))</f>
        <v>79</v>
      </c>
      <c r="G8" cm="1">
        <f t="array" ref="G8">IF(IFERROR(MIN(_xlfn._xlws.FILTER(Tabla1[[#Data],[Humidade]],Tabla1[[ID]:[ID]]=$A8,0)),"")=0,"",IFERROR(MIN(_xlfn._xlws.FILTER(Tabla1[[#Data],[Humidade]],Tabla1[[ID]:[ID]]=$A8,0)),""))</f>
        <v>74</v>
      </c>
      <c r="H8" cm="1">
        <f t="array" ref="H8">IFERROR(AVERAGE(_xlfn._xlws.FILTER(Tabla1[[#Data],[AcX]],Tabla1[[ID]:[ID]]=$A8,0)),"")</f>
        <v>9716</v>
      </c>
      <c r="I8" cm="1">
        <f t="array" ref="I8">IF(IFERROR(MAX(_xlfn._xlws.FILTER(Tabla1[[#Data],[AcX]],Tabla1[[ID]:[ID]]=$A8,0)),"")=0,"",IFERROR(MAX(_xlfn._xlws.FILTER(Tabla1[[#Data],[AcX]],Tabla1[[ID]:[ID]]=$A8,0)),""))</f>
        <v>10188</v>
      </c>
      <c r="J8" cm="1">
        <f t="array" ref="J8">IF(IFERROR(MIN(_xlfn._xlws.FILTER(Tabla1[[#Data],[AcX]],Tabla1[[ID]:[ID]]=$A8,0)),"")=0,"",IFERROR(MIN(_xlfn._xlws.FILTER(Tabla1[[#Data],[AcX]],Tabla1[[ID]:[ID]]=$A8,0)),""))</f>
        <v>9556</v>
      </c>
      <c r="K8" cm="1">
        <f t="array" ref="K8">IFERROR(AVERAGE(_xlfn._xlws.FILTER(Tabla1[[#Data],[AcY]],Tabla1[[ID]:[ID]]=$A8,0)),"")</f>
        <v>-1642.8888888888889</v>
      </c>
      <c r="L8" cm="1">
        <f t="array" ref="L8">IF(IFERROR(MAX(_xlfn._xlws.FILTER(Tabla1[[#Data],[AcY]],Tabla1[[ID]:[ID]]=$A8,0)),"")=0,"",IFERROR(MAX(_xlfn._xlws.FILTER(Tabla1[[#Data],[AcY]],Tabla1[[ID]:[ID]]=$A8,0)),""))</f>
        <v>-1144</v>
      </c>
      <c r="M8" cm="1">
        <f t="array" ref="M8">IF(IFERROR(MIN(_xlfn._xlws.FILTER(Tabla1[[#Data],[AcY]],Tabla1[[ID]:[ID]]=$A8,0)),"")=0,"",IFERROR(MIN(_xlfn._xlws.FILTER(Tabla1[[#Data],[AcY]],Tabla1[[ID]:[ID]]=$A8,0)),""))</f>
        <v>-6684</v>
      </c>
      <c r="N8" cm="1">
        <f t="array" ref="N8">IFERROR(AVERAGE(_xlfn._xlws.FILTER(Tabla1[[#Data],[AcZ]],Tabla1[[ID]:[ID]]=$A8,0)),"")</f>
        <v>12062.666666666666</v>
      </c>
      <c r="O8" cm="1">
        <f t="array" ref="O8">IF(IFERROR(MAX(_xlfn._xlws.FILTER(Tabla1[[#Data],[AcZ]],Tabla1[[ID]:[ID]]=$A8,0)),"")=0,"",IFERROR(MAX(_xlfn._xlws.FILTER(Tabla1[[#Data],[AcZ]],Tabla1[[ID]:[ID]]=$A8,0)),""))</f>
        <v>12848</v>
      </c>
      <c r="P8" cm="1">
        <f t="array" ref="P8">IF(IFERROR(MIN(_xlfn._xlws.FILTER(Tabla1[[#Data],[AcZ]],Tabla1[[ID]:[ID]]=$A8,0)),"")=0,"",IFERROR(MIN(_xlfn._xlws.FILTER(Tabla1[[#Data],[AcZ]],Tabla1[[ID]:[ID]]=$A8,0)),""))</f>
        <v>11828</v>
      </c>
      <c r="Q8" cm="1">
        <f t="array" ref="Q8">IFERROR(AVERAGE(_xlfn._xlws.FILTER(Tabla1[[#Data],[GyX]],Tabla1[[ID]:[ID]]=$A8,0)),"")</f>
        <v>-368.11111111111109</v>
      </c>
      <c r="R8" cm="1">
        <f t="array" ref="R8">IF(IFERROR(MAX(_xlfn._xlws.FILTER(Tabla1[[#Data],[GyX]],Tabla1[[ID]:[ID]]=$A8,0)),"")=0,"",IFERROR(MAX(_xlfn._xlws.FILTER(Tabla1[[#Data],[GyX]],Tabla1[[ID]:[ID]]=$A8,0)),""))</f>
        <v>826</v>
      </c>
      <c r="S8" cm="1">
        <f t="array" ref="S8">IF(IFERROR(MIN(_xlfn._xlws.FILTER(Tabla1[[#Data],[GyX]],Tabla1[[ID]:[ID]]=$A8,0)),"")=0,"",IFERROR(MIN(_xlfn._xlws.FILTER(Tabla1[[#Data],[GyX]],Tabla1[[ID]:[ID]]=$A8,0)),""))</f>
        <v>-2948</v>
      </c>
      <c r="T8" cm="1">
        <f t="array" ref="T8">IFERROR(AVERAGE(_xlfn._xlws.FILTER(Tabla1[[#Data],[GyY]],Tabla1[[ID]:[ID]]=$A8,0)),"")</f>
        <v>598.77777777777783</v>
      </c>
      <c r="U8" cm="1">
        <f t="array" ref="U8">IF(IFERROR(MAX(_xlfn._xlws.FILTER(Tabla1[[#Data],[GyY]],Tabla1[[ID]:[ID]]=$A8,0)),"")=0,"",IFERROR(MAX(_xlfn._xlws.FILTER(Tabla1[[#Data],[GyY]],Tabla1[[ID]:[ID]]=$A8,0)),""))</f>
        <v>3055</v>
      </c>
      <c r="V8" cm="1">
        <f t="array" ref="V8">IF(IFERROR(MIN(_xlfn._xlws.FILTER(Tabla1[[#Data],[GyY]],Tabla1[[ID]:[ID]]=$A8,0)),"")=0,"",IFERROR(MIN(_xlfn._xlws.FILTER(Tabla1[[#Data],[GyY]],Tabla1[[ID]:[ID]]=$A8,0)),""))</f>
        <v>234</v>
      </c>
      <c r="W8" cm="1">
        <f t="array" ref="W8">IFERROR(AVERAGE(_xlfn._xlws.FILTER(Tabla1[[#Data],[GyZ]],Tabla1[[ID]:[ID]]=$A8,0)),"")</f>
        <v>-22</v>
      </c>
      <c r="X8" cm="1">
        <f t="array" ref="X8">IF(IFERROR(MAX(_xlfn._xlws.FILTER(Tabla1[[#Data],[GyZ]],Tabla1[[ID]:[ID]]=$A8,0)),"")=0,"",IFERROR(MAX(_xlfn._xlws.FILTER(Tabla1[[#Data],[GyZ]],Tabla1[[ID]:[ID]]=$A8,0)),""))</f>
        <v>4085</v>
      </c>
      <c r="Y8" cm="1">
        <f t="array" ref="Y8">IF(IFERROR(MIN(_xlfn._xlws.FILTER(Tabla1[[#Data],[GyZ]],Tabla1[[ID]:[ID]]=$A8,0)),"")=0,"",IFERROR(MIN(_xlfn._xlws.FILTER(Tabla1[[#Data],[GyZ]],Tabla1[[ID]:[ID]]=$A8,0)),""))</f>
        <v>-896</v>
      </c>
      <c r="Z8" cm="1">
        <f t="array" ref="Z8">IF(ISNUMBER(A8),IF(ISNUMBER(MATCH(1,_xlfn._xlws.FILTER(Tabla1[[#Data],[Open]],Tabla1[[ID]:[ID]]=$A8,""))),1,0),"")</f>
        <v>1</v>
      </c>
      <c r="AA8">
        <f t="shared" si="0"/>
        <v>0</v>
      </c>
      <c r="AB8">
        <f t="shared" si="1"/>
        <v>1</v>
      </c>
      <c r="AC8">
        <f t="shared" si="2"/>
        <v>1</v>
      </c>
      <c r="AD8">
        <f t="shared" si="3"/>
        <v>0</v>
      </c>
      <c r="AE8">
        <f t="shared" si="4"/>
        <v>1</v>
      </c>
      <c r="AF8">
        <f t="shared" si="5"/>
        <v>1</v>
      </c>
      <c r="AG8">
        <f t="shared" si="6"/>
        <v>0</v>
      </c>
      <c r="AH8">
        <f t="shared" si="7"/>
        <v>0</v>
      </c>
      <c r="AI8">
        <f t="shared" si="8"/>
        <v>0</v>
      </c>
      <c r="AJ8">
        <f t="shared" si="9"/>
        <v>0</v>
      </c>
    </row>
    <row r="9" spans="1:47" x14ac:dyDescent="0.35">
      <c r="A9">
        <v>8</v>
      </c>
      <c r="B9" cm="1">
        <f t="array" ref="B9">IFERROR(AVERAGE(_xlfn._xlws.FILTER(Tabla1[[#Data],[Temperatura]],Tabla1[[ID]:[ID]]=$A9,0)),"")</f>
        <v>28.633333333333336</v>
      </c>
      <c r="C9" cm="1">
        <f t="array" ref="C9">IF(IFERROR(MAX(_xlfn._xlws.FILTER(Tabla1[[#Data],[Temperatura]],Tabla1[[ID]:[ID]]=$A9,0)),"")=0,"",IFERROR(MAX(_xlfn._xlws.FILTER(Tabla1[[#Data],[Temperatura]],Tabla1[[ID]:[ID]]=$A9,0)),""))</f>
        <v>28.7</v>
      </c>
      <c r="D9" cm="1">
        <f t="array" ref="D9">IF(IFERROR(MIN(_xlfn._xlws.FILTER(Tabla1[[#Data],[Temperatura]],Tabla1[[ID]:[ID]]=$A9,0)),"")=0,"",IFERROR(MIN(_xlfn._xlws.FILTER(Tabla1[[#Data],[Temperatura]],Tabla1[[ID]:[ID]]=$A9,0)),""))</f>
        <v>28.6</v>
      </c>
      <c r="E9" cm="1">
        <f t="array" ref="E9">IFERROR(AVERAGE(_xlfn._xlws.FILTER(Tabla1[[#Data],[Humidade]],Tabla1[[ID]:[ID]]=$A9,0)),"")</f>
        <v>67.333333333333329</v>
      </c>
      <c r="F9" cm="1">
        <f t="array" ref="F9">IF(IFERROR(MAX(_xlfn._xlws.FILTER(Tabla1[[#Data],[Humidade]],Tabla1[[ID]:[ID]]=$A9,0)),"")=0,"",IFERROR(MAX(_xlfn._xlws.FILTER(Tabla1[[#Data],[Humidade]],Tabla1[[ID]:[ID]]=$A9,0)),""))</f>
        <v>70</v>
      </c>
      <c r="G9" cm="1">
        <f t="array" ref="G9">IF(IFERROR(MIN(_xlfn._xlws.FILTER(Tabla1[[#Data],[Humidade]],Tabla1[[ID]:[ID]]=$A9,0)),"")=0,"",IFERROR(MIN(_xlfn._xlws.FILTER(Tabla1[[#Data],[Humidade]],Tabla1[[ID]:[ID]]=$A9,0)),""))</f>
        <v>66</v>
      </c>
      <c r="H9" cm="1">
        <f t="array" ref="H9">IFERROR(AVERAGE(_xlfn._xlws.FILTER(Tabla1[[#Data],[AcX]],Tabla1[[ID]:[ID]]=$A9,0)),"")</f>
        <v>9997.3333333333339</v>
      </c>
      <c r="I9" cm="1">
        <f t="array" ref="I9">IF(IFERROR(MAX(_xlfn._xlws.FILTER(Tabla1[[#Data],[AcX]],Tabla1[[ID]:[ID]]=$A9,0)),"")=0,"",IFERROR(MAX(_xlfn._xlws.FILTER(Tabla1[[#Data],[AcX]],Tabla1[[ID]:[ID]]=$A9,0)),""))</f>
        <v>10088</v>
      </c>
      <c r="J9" cm="1">
        <f t="array" ref="J9">IF(IFERROR(MIN(_xlfn._xlws.FILTER(Tabla1[[#Data],[AcX]],Tabla1[[ID]:[ID]]=$A9,0)),"")=0,"",IFERROR(MIN(_xlfn._xlws.FILTER(Tabla1[[#Data],[AcX]],Tabla1[[ID]:[ID]]=$A9,0)),""))</f>
        <v>9932</v>
      </c>
      <c r="K9" cm="1">
        <f t="array" ref="K9">IFERROR(AVERAGE(_xlfn._xlws.FILTER(Tabla1[[#Data],[AcY]],Tabla1[[ID]:[ID]]=$A9,0)),"")</f>
        <v>-673.33333333333337</v>
      </c>
      <c r="L9" cm="1">
        <f t="array" ref="L9">IF(IFERROR(MAX(_xlfn._xlws.FILTER(Tabla1[[#Data],[AcY]],Tabla1[[ID]:[ID]]=$A9,0)),"")=0,"",IFERROR(MAX(_xlfn._xlws.FILTER(Tabla1[[#Data],[AcY]],Tabla1[[ID]:[ID]]=$A9,0)),""))</f>
        <v>-532</v>
      </c>
      <c r="M9" cm="1">
        <f t="array" ref="M9">IF(IFERROR(MIN(_xlfn._xlws.FILTER(Tabla1[[#Data],[AcY]],Tabla1[[ID]:[ID]]=$A9,0)),"")=0,"",IFERROR(MIN(_xlfn._xlws.FILTER(Tabla1[[#Data],[AcY]],Tabla1[[ID]:[ID]]=$A9,0)),""))</f>
        <v>-932</v>
      </c>
      <c r="N9" cm="1">
        <f t="array" ref="N9">IFERROR(AVERAGE(_xlfn._xlws.FILTER(Tabla1[[#Data],[AcZ]],Tabla1[[ID]:[ID]]=$A9,0)),"")</f>
        <v>11782.666666666666</v>
      </c>
      <c r="O9" cm="1">
        <f t="array" ref="O9">IF(IFERROR(MAX(_xlfn._xlws.FILTER(Tabla1[[#Data],[AcZ]],Tabla1[[ID]:[ID]]=$A9,0)),"")=0,"",IFERROR(MAX(_xlfn._xlws.FILTER(Tabla1[[#Data],[AcZ]],Tabla1[[ID]:[ID]]=$A9,0)),""))</f>
        <v>11820</v>
      </c>
      <c r="P9" cm="1">
        <f t="array" ref="P9">IF(IFERROR(MIN(_xlfn._xlws.FILTER(Tabla1[[#Data],[AcZ]],Tabla1[[ID]:[ID]]=$A9,0)),"")=0,"",IFERROR(MIN(_xlfn._xlws.FILTER(Tabla1[[#Data],[AcZ]],Tabla1[[ID]:[ID]]=$A9,0)),""))</f>
        <v>11716</v>
      </c>
      <c r="Q9" cm="1">
        <f t="array" ref="Q9">IFERROR(AVERAGE(_xlfn._xlws.FILTER(Tabla1[[#Data],[GyX]],Tabla1[[ID]:[ID]]=$A9,0)),"")</f>
        <v>-383.66666666666669</v>
      </c>
      <c r="R9" cm="1">
        <f t="array" ref="R9">IF(IFERROR(MAX(_xlfn._xlws.FILTER(Tabla1[[#Data],[GyX]],Tabla1[[ID]:[ID]]=$A9,0)),"")=0,"",IFERROR(MAX(_xlfn._xlws.FILTER(Tabla1[[#Data],[GyX]],Tabla1[[ID]:[ID]]=$A9,0)),""))</f>
        <v>-184</v>
      </c>
      <c r="S9" cm="1">
        <f t="array" ref="S9">IF(IFERROR(MIN(_xlfn._xlws.FILTER(Tabla1[[#Data],[GyX]],Tabla1[[ID]:[ID]]=$A9,0)),"")=0,"",IFERROR(MIN(_xlfn._xlws.FILTER(Tabla1[[#Data],[GyX]],Tabla1[[ID]:[ID]]=$A9,0)),""))</f>
        <v>-773</v>
      </c>
      <c r="T9" cm="1">
        <f t="array" ref="T9">IFERROR(AVERAGE(_xlfn._xlws.FILTER(Tabla1[[#Data],[GyY]],Tabla1[[ID]:[ID]]=$A9,0)),"")</f>
        <v>406.66666666666669</v>
      </c>
      <c r="U9" cm="1">
        <f t="array" ref="U9">IF(IFERROR(MAX(_xlfn._xlws.FILTER(Tabla1[[#Data],[GyY]],Tabla1[[ID]:[ID]]=$A9,0)),"")=0,"",IFERROR(MAX(_xlfn._xlws.FILTER(Tabla1[[#Data],[GyY]],Tabla1[[ID]:[ID]]=$A9,0)),""))</f>
        <v>622</v>
      </c>
      <c r="V9" cm="1">
        <f t="array" ref="V9">IF(IFERROR(MIN(_xlfn._xlws.FILTER(Tabla1[[#Data],[GyY]],Tabla1[[ID]:[ID]]=$A9,0)),"")=0,"",IFERROR(MIN(_xlfn._xlws.FILTER(Tabla1[[#Data],[GyY]],Tabla1[[ID]:[ID]]=$A9,0)),""))</f>
        <v>292</v>
      </c>
      <c r="W9" cm="1">
        <f t="array" ref="W9">IFERROR(AVERAGE(_xlfn._xlws.FILTER(Tabla1[[#Data],[GyZ]],Tabla1[[ID]:[ID]]=$A9,0)),"")</f>
        <v>-68.333333333333329</v>
      </c>
      <c r="X9" cm="1">
        <f t="array" ref="X9">IF(IFERROR(MAX(_xlfn._xlws.FILTER(Tabla1[[#Data],[GyZ]],Tabla1[[ID]:[ID]]=$A9,0)),"")=0,"",IFERROR(MAX(_xlfn._xlws.FILTER(Tabla1[[#Data],[GyZ]],Tabla1[[ID]:[ID]]=$A9,0)),""))</f>
        <v>349</v>
      </c>
      <c r="Y9" cm="1">
        <f t="array" ref="Y9">IF(IFERROR(MIN(_xlfn._xlws.FILTER(Tabla1[[#Data],[GyZ]],Tabla1[[ID]:[ID]]=$A9,0)),"")=0,"",IFERROR(MIN(_xlfn._xlws.FILTER(Tabla1[[#Data],[GyZ]],Tabla1[[ID]:[ID]]=$A9,0)),""))</f>
        <v>-301</v>
      </c>
      <c r="Z9" cm="1">
        <f t="array" ref="Z9">IF(ISNUMBER(A9),IF(ISNUMBER(MATCH(1,_xlfn._xlws.FILTER(Tabla1[[#Data],[Open]],Tabla1[[ID]:[ID]]=$A9,""))),1,0),"")</f>
        <v>1</v>
      </c>
      <c r="AA9">
        <f t="shared" si="0"/>
        <v>0</v>
      </c>
      <c r="AB9">
        <f t="shared" si="1"/>
        <v>1</v>
      </c>
      <c r="AC9">
        <f t="shared" si="2"/>
        <v>1</v>
      </c>
      <c r="AD9">
        <f t="shared" si="3"/>
        <v>0</v>
      </c>
      <c r="AE9">
        <f t="shared" si="4"/>
        <v>1</v>
      </c>
      <c r="AF9">
        <f t="shared" si="5"/>
        <v>1</v>
      </c>
      <c r="AG9">
        <f t="shared" si="6"/>
        <v>1</v>
      </c>
      <c r="AH9">
        <f t="shared" si="7"/>
        <v>1</v>
      </c>
      <c r="AI9">
        <f t="shared" si="8"/>
        <v>1</v>
      </c>
      <c r="AJ9">
        <f t="shared" si="9"/>
        <v>0</v>
      </c>
    </row>
    <row r="10" spans="1:47" x14ac:dyDescent="0.35">
      <c r="B10" t="str" cm="1">
        <f t="array" ref="B10">IFERROR(AVERAGE(_xlfn._xlws.FILTER(Tabla1[[#Data],[Temperatura]],Tabla1[[ID]:[ID]]=$A10,0)),"")</f>
        <v/>
      </c>
      <c r="C10" t="str" cm="1">
        <f t="array" ref="C10">IF(IFERROR(MAX(_xlfn._xlws.FILTER(Tabla1[[#Data],[Temperatura]],Tabla1[[ID]:[ID]]=$A10,0)),"")=0,"",IFERROR(MAX(_xlfn._xlws.FILTER(Tabla1[[#Data],[Temperatura]],Tabla1[[ID]:[ID]]=$A10,0)),""))</f>
        <v/>
      </c>
      <c r="D10" t="str" cm="1">
        <f t="array" ref="D10">IF(IFERROR(MIN(_xlfn._xlws.FILTER(Tabla1[[#Data],[Temperatura]],Tabla1[[ID]:[ID]]=$A10,0)),"")=0,"",IFERROR(MIN(_xlfn._xlws.FILTER(Tabla1[[#Data],[Temperatura]],Tabla1[[ID]:[ID]]=$A10,0)),""))</f>
        <v/>
      </c>
      <c r="E10" t="str" cm="1">
        <f t="array" ref="E10">IFERROR(AVERAGE(_xlfn._xlws.FILTER(Tabla1[[#Data],[Humidade]],Tabla1[[ID]:[ID]]=$A10,0)),"")</f>
        <v/>
      </c>
      <c r="F10" t="str" cm="1">
        <f t="array" ref="F10">IF(IFERROR(MAX(_xlfn._xlws.FILTER(Tabla1[[#Data],[Humidade]],Tabla1[[ID]:[ID]]=$A10,0)),"")=0,"",IFERROR(MAX(_xlfn._xlws.FILTER(Tabla1[[#Data],[Humidade]],Tabla1[[ID]:[ID]]=$A10,0)),""))</f>
        <v/>
      </c>
      <c r="G10" t="str" cm="1">
        <f t="array" ref="G10">IF(IFERROR(MIN(_xlfn._xlws.FILTER(Tabla1[[#Data],[Humidade]],Tabla1[[ID]:[ID]]=$A10,0)),"")=0,"",IFERROR(MIN(_xlfn._xlws.FILTER(Tabla1[[#Data],[Humidade]],Tabla1[[ID]:[ID]]=$A10,0)),""))</f>
        <v/>
      </c>
      <c r="H10" t="str" cm="1">
        <f t="array" ref="H10">IFERROR(AVERAGE(_xlfn._xlws.FILTER(Tabla1[[#Data],[AcX]],Tabla1[[ID]:[ID]]=$A10,0)),"")</f>
        <v/>
      </c>
      <c r="I10" t="str" cm="1">
        <f t="array" ref="I10">IF(IFERROR(MAX(_xlfn._xlws.FILTER(Tabla1[[#Data],[AcX]],Tabla1[[ID]:[ID]]=$A10,0)),"")=0,"",IFERROR(MAX(_xlfn._xlws.FILTER(Tabla1[[#Data],[AcX]],Tabla1[[ID]:[ID]]=$A10,0)),""))</f>
        <v/>
      </c>
      <c r="J10" t="str" cm="1">
        <f t="array" ref="J10">IF(IFERROR(MIN(_xlfn._xlws.FILTER(Tabla1[[#Data],[AcX]],Tabla1[[ID]:[ID]]=$A10,0)),"")=0,"",IFERROR(MIN(_xlfn._xlws.FILTER(Tabla1[[#Data],[AcX]],Tabla1[[ID]:[ID]]=$A10,0)),""))</f>
        <v/>
      </c>
      <c r="K10" t="str" cm="1">
        <f t="array" ref="K10">IFERROR(AVERAGE(_xlfn._xlws.FILTER(Tabla1[[#Data],[AcY]],Tabla1[[ID]:[ID]]=$A10,0)),"")</f>
        <v/>
      </c>
      <c r="L10" t="str" cm="1">
        <f t="array" ref="L10">IF(IFERROR(MAX(_xlfn._xlws.FILTER(Tabla1[[#Data],[AcY]],Tabla1[[ID]:[ID]]=$A10,0)),"")=0,"",IFERROR(MAX(_xlfn._xlws.FILTER(Tabla1[[#Data],[AcY]],Tabla1[[ID]:[ID]]=$A10,0)),""))</f>
        <v/>
      </c>
      <c r="M10" t="str" cm="1">
        <f t="array" ref="M10">IF(IFERROR(MIN(_xlfn._xlws.FILTER(Tabla1[[#Data],[AcY]],Tabla1[[ID]:[ID]]=$A10,0)),"")=0,"",IFERROR(MIN(_xlfn._xlws.FILTER(Tabla1[[#Data],[AcY]],Tabla1[[ID]:[ID]]=$A10,0)),""))</f>
        <v/>
      </c>
      <c r="N10" t="str" cm="1">
        <f t="array" ref="N10">IFERROR(AVERAGE(_xlfn._xlws.FILTER(Tabla1[[#Data],[AcZ]],Tabla1[[ID]:[ID]]=$A10,0)),"")</f>
        <v/>
      </c>
      <c r="O10" t="str" cm="1">
        <f t="array" ref="O10">IF(IFERROR(MAX(_xlfn._xlws.FILTER(Tabla1[[#Data],[AcZ]],Tabla1[[ID]:[ID]]=$A10,0)),"")=0,"",IFERROR(MAX(_xlfn._xlws.FILTER(Tabla1[[#Data],[AcZ]],Tabla1[[ID]:[ID]]=$A10,0)),""))</f>
        <v/>
      </c>
      <c r="P10" t="str" cm="1">
        <f t="array" ref="P10">IF(IFERROR(MIN(_xlfn._xlws.FILTER(Tabla1[[#Data],[AcZ]],Tabla1[[ID]:[ID]]=$A10,0)),"")=0,"",IFERROR(MIN(_xlfn._xlws.FILTER(Tabla1[[#Data],[AcZ]],Tabla1[[ID]:[ID]]=$A10,0)),""))</f>
        <v/>
      </c>
      <c r="Q10" t="str" cm="1">
        <f t="array" ref="Q10">IFERROR(AVERAGE(_xlfn._xlws.FILTER(Tabla1[[#Data],[GyX]],Tabla1[[ID]:[ID]]=$A10,0)),"")</f>
        <v/>
      </c>
      <c r="R10" t="str" cm="1">
        <f t="array" ref="R10">IF(IFERROR(MAX(_xlfn._xlws.FILTER(Tabla1[[#Data],[GyX]],Tabla1[[ID]:[ID]]=$A10,0)),"")=0,"",IFERROR(MAX(_xlfn._xlws.FILTER(Tabla1[[#Data],[GyX]],Tabla1[[ID]:[ID]]=$A10,0)),""))</f>
        <v/>
      </c>
      <c r="S10" t="str" cm="1">
        <f t="array" ref="S10">IF(IFERROR(MIN(_xlfn._xlws.FILTER(Tabla1[[#Data],[GyX]],Tabla1[[ID]:[ID]]=$A10,0)),"")=0,"",IFERROR(MIN(_xlfn._xlws.FILTER(Tabla1[[#Data],[GyX]],Tabla1[[ID]:[ID]]=$A10,0)),""))</f>
        <v/>
      </c>
      <c r="T10" t="str" cm="1">
        <f t="array" ref="T10">IFERROR(AVERAGE(_xlfn._xlws.FILTER(Tabla1[[#Data],[GyY]],Tabla1[[ID]:[ID]]=$A10,0)),"")</f>
        <v/>
      </c>
      <c r="U10" t="str" cm="1">
        <f t="array" ref="U10">IF(IFERROR(MAX(_xlfn._xlws.FILTER(Tabla1[[#Data],[GyY]],Tabla1[[ID]:[ID]]=$A10,0)),"")=0,"",IFERROR(MAX(_xlfn._xlws.FILTER(Tabla1[[#Data],[GyY]],Tabla1[[ID]:[ID]]=$A10,0)),""))</f>
        <v/>
      </c>
      <c r="V10" t="str" cm="1">
        <f t="array" ref="V10">IF(IFERROR(MIN(_xlfn._xlws.FILTER(Tabla1[[#Data],[GyY]],Tabla1[[ID]:[ID]]=$A10,0)),"")=0,"",IFERROR(MIN(_xlfn._xlws.FILTER(Tabla1[[#Data],[GyY]],Tabla1[[ID]:[ID]]=$A10,0)),""))</f>
        <v/>
      </c>
      <c r="W10" t="str" cm="1">
        <f t="array" ref="W10">IFERROR(AVERAGE(_xlfn._xlws.FILTER(Tabla1[[#Data],[GyZ]],Tabla1[[ID]:[ID]]=$A10,0)),"")</f>
        <v/>
      </c>
      <c r="X10" t="str" cm="1">
        <f t="array" ref="X10">IF(IFERROR(MAX(_xlfn._xlws.FILTER(Tabla1[[#Data],[GyZ]],Tabla1[[ID]:[ID]]=$A10,0)),"")=0,"",IFERROR(MAX(_xlfn._xlws.FILTER(Tabla1[[#Data],[GyZ]],Tabla1[[ID]:[ID]]=$A10,0)),""))</f>
        <v/>
      </c>
      <c r="Y10" t="str" cm="1">
        <f t="array" ref="Y10">IF(IFERROR(MIN(_xlfn._xlws.FILTER(Tabla1[[#Data],[GyZ]],Tabla1[[ID]:[ID]]=$A10,0)),"")=0,"",IFERROR(MIN(_xlfn._xlws.FILTER(Tabla1[[#Data],[GyZ]],Tabla1[[ID]:[ID]]=$A10,0)),""))</f>
        <v/>
      </c>
      <c r="Z10" t="str" cm="1">
        <f t="array" ref="Z10">IF(ISNUMBER(A10),IF(ISNUMBER(MATCH(1,_xlfn._xlws.FILTER(Tabla1[[#Data],[Open]],Tabla1[[ID]:[ID]]=$A10,""))),1,0),"")</f>
        <v/>
      </c>
      <c r="AA10" t="str">
        <f t="shared" si="0"/>
        <v/>
      </c>
      <c r="AB10" t="str">
        <f t="shared" si="1"/>
        <v/>
      </c>
      <c r="AC10" t="str">
        <f t="shared" si="2"/>
        <v/>
      </c>
      <c r="AD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J10" t="str">
        <f t="shared" si="9"/>
        <v/>
      </c>
    </row>
    <row r="11" spans="1:47" x14ac:dyDescent="0.35">
      <c r="B11" t="str" cm="1">
        <f t="array" ref="B11">IFERROR(AVERAGE(_xlfn._xlws.FILTER(Tabla1[[#Data],[Temperatura]],Tabla1[[ID]:[ID]]=$A11,0)),"")</f>
        <v/>
      </c>
      <c r="C11" t="str" cm="1">
        <f t="array" ref="C11">IF(IFERROR(MAX(_xlfn._xlws.FILTER(Tabla1[[#Data],[Temperatura]],Tabla1[[ID]:[ID]]=$A11,0)),"")=0,"",IFERROR(MAX(_xlfn._xlws.FILTER(Tabla1[[#Data],[Temperatura]],Tabla1[[ID]:[ID]]=$A11,0)),""))</f>
        <v/>
      </c>
      <c r="D11" t="str" cm="1">
        <f t="array" ref="D11">IF(IFERROR(MIN(_xlfn._xlws.FILTER(Tabla1[[#Data],[Temperatura]],Tabla1[[ID]:[ID]]=$A11,0)),"")=0,"",IFERROR(MIN(_xlfn._xlws.FILTER(Tabla1[[#Data],[Temperatura]],Tabla1[[ID]:[ID]]=$A11,0)),""))</f>
        <v/>
      </c>
      <c r="E11" t="str" cm="1">
        <f t="array" ref="E11">IFERROR(AVERAGE(_xlfn._xlws.FILTER(Tabla1[[#Data],[Humidade]],Tabla1[[ID]:[ID]]=$A11,0)),"")</f>
        <v/>
      </c>
      <c r="F11" t="str" cm="1">
        <f t="array" ref="F11">IF(IFERROR(MAX(_xlfn._xlws.FILTER(Tabla1[[#Data],[Humidade]],Tabla1[[ID]:[ID]]=$A11,0)),"")=0,"",IFERROR(MAX(_xlfn._xlws.FILTER(Tabla1[[#Data],[Humidade]],Tabla1[[ID]:[ID]]=$A11,0)),""))</f>
        <v/>
      </c>
      <c r="G11" t="str" cm="1">
        <f t="array" ref="G11">IF(IFERROR(MIN(_xlfn._xlws.FILTER(Tabla1[[#Data],[Humidade]],Tabla1[[ID]:[ID]]=$A11,0)),"")=0,"",IFERROR(MIN(_xlfn._xlws.FILTER(Tabla1[[#Data],[Humidade]],Tabla1[[ID]:[ID]]=$A11,0)),""))</f>
        <v/>
      </c>
      <c r="H11" t="str" cm="1">
        <f t="array" ref="H11">IFERROR(AVERAGE(_xlfn._xlws.FILTER(Tabla1[[#Data],[AcX]],Tabla1[[ID]:[ID]]=$A11,0)),"")</f>
        <v/>
      </c>
      <c r="I11" t="str" cm="1">
        <f t="array" ref="I11">IF(IFERROR(MAX(_xlfn._xlws.FILTER(Tabla1[[#Data],[AcX]],Tabla1[[ID]:[ID]]=$A11,0)),"")=0,"",IFERROR(MAX(_xlfn._xlws.FILTER(Tabla1[[#Data],[AcX]],Tabla1[[ID]:[ID]]=$A11,0)),""))</f>
        <v/>
      </c>
      <c r="J11" t="str" cm="1">
        <f t="array" ref="J11">IF(IFERROR(MIN(_xlfn._xlws.FILTER(Tabla1[[#Data],[AcX]],Tabla1[[ID]:[ID]]=$A11,0)),"")=0,"",IFERROR(MIN(_xlfn._xlws.FILTER(Tabla1[[#Data],[AcX]],Tabla1[[ID]:[ID]]=$A11,0)),""))</f>
        <v/>
      </c>
      <c r="K11" t="str" cm="1">
        <f t="array" ref="K11">IFERROR(AVERAGE(_xlfn._xlws.FILTER(Tabla1[[#Data],[AcY]],Tabla1[[ID]:[ID]]=$A11,0)),"")</f>
        <v/>
      </c>
      <c r="L11" t="str" cm="1">
        <f t="array" ref="L11">IF(IFERROR(MAX(_xlfn._xlws.FILTER(Tabla1[[#Data],[AcY]],Tabla1[[ID]:[ID]]=$A11,0)),"")=0,"",IFERROR(MAX(_xlfn._xlws.FILTER(Tabla1[[#Data],[AcY]],Tabla1[[ID]:[ID]]=$A11,0)),""))</f>
        <v/>
      </c>
      <c r="M11" t="str" cm="1">
        <f t="array" ref="M11">IF(IFERROR(MIN(_xlfn._xlws.FILTER(Tabla1[[#Data],[AcY]],Tabla1[[ID]:[ID]]=$A11,0)),"")=0,"",IFERROR(MIN(_xlfn._xlws.FILTER(Tabla1[[#Data],[AcY]],Tabla1[[ID]:[ID]]=$A11,0)),""))</f>
        <v/>
      </c>
      <c r="N11" t="str" cm="1">
        <f t="array" ref="N11">IFERROR(AVERAGE(_xlfn._xlws.FILTER(Tabla1[[#Data],[AcZ]],Tabla1[[ID]:[ID]]=$A11,0)),"")</f>
        <v/>
      </c>
      <c r="O11" t="str" cm="1">
        <f t="array" ref="O11">IF(IFERROR(MAX(_xlfn._xlws.FILTER(Tabla1[[#Data],[AcZ]],Tabla1[[ID]:[ID]]=$A11,0)),"")=0,"",IFERROR(MAX(_xlfn._xlws.FILTER(Tabla1[[#Data],[AcZ]],Tabla1[[ID]:[ID]]=$A11,0)),""))</f>
        <v/>
      </c>
      <c r="P11" t="str" cm="1">
        <f t="array" ref="P11">IF(IFERROR(MIN(_xlfn._xlws.FILTER(Tabla1[[#Data],[AcZ]],Tabla1[[ID]:[ID]]=$A11,0)),"")=0,"",IFERROR(MIN(_xlfn._xlws.FILTER(Tabla1[[#Data],[AcZ]],Tabla1[[ID]:[ID]]=$A11,0)),""))</f>
        <v/>
      </c>
      <c r="Q11" t="str" cm="1">
        <f t="array" ref="Q11">IFERROR(AVERAGE(_xlfn._xlws.FILTER(Tabla1[[#Data],[GyX]],Tabla1[[ID]:[ID]]=$A11,0)),"")</f>
        <v/>
      </c>
      <c r="R11" t="str" cm="1">
        <f t="array" ref="R11">IF(IFERROR(MAX(_xlfn._xlws.FILTER(Tabla1[[#Data],[GyX]],Tabla1[[ID]:[ID]]=$A11,0)),"")=0,"",IFERROR(MAX(_xlfn._xlws.FILTER(Tabla1[[#Data],[GyX]],Tabla1[[ID]:[ID]]=$A11,0)),""))</f>
        <v/>
      </c>
      <c r="S11" t="str" cm="1">
        <f t="array" ref="S11">IF(IFERROR(MIN(_xlfn._xlws.FILTER(Tabla1[[#Data],[GyX]],Tabla1[[ID]:[ID]]=$A11,0)),"")=0,"",IFERROR(MIN(_xlfn._xlws.FILTER(Tabla1[[#Data],[GyX]],Tabla1[[ID]:[ID]]=$A11,0)),""))</f>
        <v/>
      </c>
      <c r="T11" t="str" cm="1">
        <f t="array" ref="T11">IFERROR(AVERAGE(_xlfn._xlws.FILTER(Tabla1[[#Data],[GyY]],Tabla1[[ID]:[ID]]=$A11,0)),"")</f>
        <v/>
      </c>
      <c r="U11" t="str" cm="1">
        <f t="array" ref="U11">IF(IFERROR(MAX(_xlfn._xlws.FILTER(Tabla1[[#Data],[GyY]],Tabla1[[ID]:[ID]]=$A11,0)),"")=0,"",IFERROR(MAX(_xlfn._xlws.FILTER(Tabla1[[#Data],[GyY]],Tabla1[[ID]:[ID]]=$A11,0)),""))</f>
        <v/>
      </c>
      <c r="V11" t="str" cm="1">
        <f t="array" ref="V11">IF(IFERROR(MIN(_xlfn._xlws.FILTER(Tabla1[[#Data],[GyY]],Tabla1[[ID]:[ID]]=$A11,0)),"")=0,"",IFERROR(MIN(_xlfn._xlws.FILTER(Tabla1[[#Data],[GyY]],Tabla1[[ID]:[ID]]=$A11,0)),""))</f>
        <v/>
      </c>
      <c r="W11" t="str" cm="1">
        <f t="array" ref="W11">IFERROR(AVERAGE(_xlfn._xlws.FILTER(Tabla1[[#Data],[GyZ]],Tabla1[[ID]:[ID]]=$A11,0)),"")</f>
        <v/>
      </c>
      <c r="X11" t="str" cm="1">
        <f t="array" ref="X11">IF(IFERROR(MAX(_xlfn._xlws.FILTER(Tabla1[[#Data],[GyZ]],Tabla1[[ID]:[ID]]=$A11,0)),"")=0,"",IFERROR(MAX(_xlfn._xlws.FILTER(Tabla1[[#Data],[GyZ]],Tabla1[[ID]:[ID]]=$A11,0)),""))</f>
        <v/>
      </c>
      <c r="Y11" t="str" cm="1">
        <f t="array" ref="Y11">IF(IFERROR(MIN(_xlfn._xlws.FILTER(Tabla1[[#Data],[GyZ]],Tabla1[[ID]:[ID]]=$A11,0)),"")=0,"",IFERROR(MIN(_xlfn._xlws.FILTER(Tabla1[[#Data],[GyZ]],Tabla1[[ID]:[ID]]=$A11,0)),""))</f>
        <v/>
      </c>
      <c r="Z11" t="str" cm="1">
        <f t="array" ref="Z11">IF(ISNUMBER(A11),IF(ISNUMBER(MATCH(1,_xlfn._xlws.FILTER(Tabla1[[#Data],[Open]],Tabla1[[ID]:[ID]]=$A11,""))),1,0),"")</f>
        <v/>
      </c>
      <c r="AA11" t="str">
        <f t="shared" si="0"/>
        <v/>
      </c>
      <c r="AB11" t="str">
        <f t="shared" si="1"/>
        <v/>
      </c>
      <c r="AC11" t="str">
        <f t="shared" si="2"/>
        <v/>
      </c>
      <c r="AD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J11" t="str">
        <f t="shared" si="9"/>
        <v/>
      </c>
    </row>
    <row r="12" spans="1:47" x14ac:dyDescent="0.35">
      <c r="B12" t="str" cm="1">
        <f t="array" ref="B12">IFERROR(AVERAGE(_xlfn._xlws.FILTER(Tabla1[[#Data],[Temperatura]],Tabla1[[ID]:[ID]]=$A12,0)),"")</f>
        <v/>
      </c>
      <c r="C12" t="str" cm="1">
        <f t="array" ref="C12">IF(IFERROR(MAX(_xlfn._xlws.FILTER(Tabla1[[#Data],[Temperatura]],Tabla1[[ID]:[ID]]=$A12,0)),"")=0,"",IFERROR(MAX(_xlfn._xlws.FILTER(Tabla1[[#Data],[Temperatura]],Tabla1[[ID]:[ID]]=$A12,0)),""))</f>
        <v/>
      </c>
      <c r="D12" t="str" cm="1">
        <f t="array" ref="D12">IF(IFERROR(MIN(_xlfn._xlws.FILTER(Tabla1[[#Data],[Temperatura]],Tabla1[[ID]:[ID]]=$A12,0)),"")=0,"",IFERROR(MIN(_xlfn._xlws.FILTER(Tabla1[[#Data],[Temperatura]],Tabla1[[ID]:[ID]]=$A12,0)),""))</f>
        <v/>
      </c>
      <c r="E12" t="str" cm="1">
        <f t="array" ref="E12">IFERROR(AVERAGE(_xlfn._xlws.FILTER(Tabla1[[#Data],[Humidade]],Tabla1[[ID]:[ID]]=$A12,0)),"")</f>
        <v/>
      </c>
      <c r="F12" t="str" cm="1">
        <f t="array" ref="F12">IF(IFERROR(MAX(_xlfn._xlws.FILTER(Tabla1[[#Data],[Humidade]],Tabla1[[ID]:[ID]]=$A12,0)),"")=0,"",IFERROR(MAX(_xlfn._xlws.FILTER(Tabla1[[#Data],[Humidade]],Tabla1[[ID]:[ID]]=$A12,0)),""))</f>
        <v/>
      </c>
      <c r="G12" t="str" cm="1">
        <f t="array" ref="G12">IF(IFERROR(MIN(_xlfn._xlws.FILTER(Tabla1[[#Data],[Humidade]],Tabla1[[ID]:[ID]]=$A12,0)),"")=0,"",IFERROR(MIN(_xlfn._xlws.FILTER(Tabla1[[#Data],[Humidade]],Tabla1[[ID]:[ID]]=$A12,0)),""))</f>
        <v/>
      </c>
      <c r="H12" t="str" cm="1">
        <f t="array" ref="H12">IFERROR(AVERAGE(_xlfn._xlws.FILTER(Tabla1[[#Data],[AcX]],Tabla1[[ID]:[ID]]=$A12,0)),"")</f>
        <v/>
      </c>
      <c r="I12" t="str" cm="1">
        <f t="array" ref="I12">IF(IFERROR(MAX(_xlfn._xlws.FILTER(Tabla1[[#Data],[AcX]],Tabla1[[ID]:[ID]]=$A12,0)),"")=0,"",IFERROR(MAX(_xlfn._xlws.FILTER(Tabla1[[#Data],[AcX]],Tabla1[[ID]:[ID]]=$A12,0)),""))</f>
        <v/>
      </c>
      <c r="J12" t="str" cm="1">
        <f t="array" ref="J12">IF(IFERROR(MIN(_xlfn._xlws.FILTER(Tabla1[[#Data],[AcX]],Tabla1[[ID]:[ID]]=$A12,0)),"")=0,"",IFERROR(MIN(_xlfn._xlws.FILTER(Tabla1[[#Data],[AcX]],Tabla1[[ID]:[ID]]=$A12,0)),""))</f>
        <v/>
      </c>
      <c r="K12" t="str" cm="1">
        <f t="array" ref="K12">IFERROR(AVERAGE(_xlfn._xlws.FILTER(Tabla1[[#Data],[AcY]],Tabla1[[ID]:[ID]]=$A12,0)),"")</f>
        <v/>
      </c>
      <c r="L12" t="str" cm="1">
        <f t="array" ref="L12">IF(IFERROR(MAX(_xlfn._xlws.FILTER(Tabla1[[#Data],[AcY]],Tabla1[[ID]:[ID]]=$A12,0)),"")=0,"",IFERROR(MAX(_xlfn._xlws.FILTER(Tabla1[[#Data],[AcY]],Tabla1[[ID]:[ID]]=$A12,0)),""))</f>
        <v/>
      </c>
      <c r="M12" t="str" cm="1">
        <f t="array" ref="M12">IF(IFERROR(MIN(_xlfn._xlws.FILTER(Tabla1[[#Data],[AcY]],Tabla1[[ID]:[ID]]=$A12,0)),"")=0,"",IFERROR(MIN(_xlfn._xlws.FILTER(Tabla1[[#Data],[AcY]],Tabla1[[ID]:[ID]]=$A12,0)),""))</f>
        <v/>
      </c>
      <c r="N12" t="str" cm="1">
        <f t="array" ref="N12">IFERROR(AVERAGE(_xlfn._xlws.FILTER(Tabla1[[#Data],[AcZ]],Tabla1[[ID]:[ID]]=$A12,0)),"")</f>
        <v/>
      </c>
      <c r="O12" t="str" cm="1">
        <f t="array" ref="O12">IF(IFERROR(MAX(_xlfn._xlws.FILTER(Tabla1[[#Data],[AcZ]],Tabla1[[ID]:[ID]]=$A12,0)),"")=0,"",IFERROR(MAX(_xlfn._xlws.FILTER(Tabla1[[#Data],[AcZ]],Tabla1[[ID]:[ID]]=$A12,0)),""))</f>
        <v/>
      </c>
      <c r="P12" t="str" cm="1">
        <f t="array" ref="P12">IF(IFERROR(MIN(_xlfn._xlws.FILTER(Tabla1[[#Data],[AcZ]],Tabla1[[ID]:[ID]]=$A12,0)),"")=0,"",IFERROR(MIN(_xlfn._xlws.FILTER(Tabla1[[#Data],[AcZ]],Tabla1[[ID]:[ID]]=$A12,0)),""))</f>
        <v/>
      </c>
      <c r="Q12" t="str" cm="1">
        <f t="array" ref="Q12">IFERROR(AVERAGE(_xlfn._xlws.FILTER(Tabla1[[#Data],[GyX]],Tabla1[[ID]:[ID]]=$A12,0)),"")</f>
        <v/>
      </c>
      <c r="R12" t="str" cm="1">
        <f t="array" ref="R12">IF(IFERROR(MAX(_xlfn._xlws.FILTER(Tabla1[[#Data],[GyX]],Tabla1[[ID]:[ID]]=$A12,0)),"")=0,"",IFERROR(MAX(_xlfn._xlws.FILTER(Tabla1[[#Data],[GyX]],Tabla1[[ID]:[ID]]=$A12,0)),""))</f>
        <v/>
      </c>
      <c r="S12" t="str" cm="1">
        <f t="array" ref="S12">IF(IFERROR(MIN(_xlfn._xlws.FILTER(Tabla1[[#Data],[GyX]],Tabla1[[ID]:[ID]]=$A12,0)),"")=0,"",IFERROR(MIN(_xlfn._xlws.FILTER(Tabla1[[#Data],[GyX]],Tabla1[[ID]:[ID]]=$A12,0)),""))</f>
        <v/>
      </c>
      <c r="T12" t="str" cm="1">
        <f t="array" ref="T12">IFERROR(AVERAGE(_xlfn._xlws.FILTER(Tabla1[[#Data],[GyY]],Tabla1[[ID]:[ID]]=$A12,0)),"")</f>
        <v/>
      </c>
      <c r="U12" t="str" cm="1">
        <f t="array" ref="U12">IF(IFERROR(MAX(_xlfn._xlws.FILTER(Tabla1[[#Data],[GyY]],Tabla1[[ID]:[ID]]=$A12,0)),"")=0,"",IFERROR(MAX(_xlfn._xlws.FILTER(Tabla1[[#Data],[GyY]],Tabla1[[ID]:[ID]]=$A12,0)),""))</f>
        <v/>
      </c>
      <c r="V12" t="str" cm="1">
        <f t="array" ref="V12">IF(IFERROR(MIN(_xlfn._xlws.FILTER(Tabla1[[#Data],[GyY]],Tabla1[[ID]:[ID]]=$A12,0)),"")=0,"",IFERROR(MIN(_xlfn._xlws.FILTER(Tabla1[[#Data],[GyY]],Tabla1[[ID]:[ID]]=$A12,0)),""))</f>
        <v/>
      </c>
      <c r="W12" t="str" cm="1">
        <f t="array" ref="W12">IFERROR(AVERAGE(_xlfn._xlws.FILTER(Tabla1[[#Data],[GyZ]],Tabla1[[ID]:[ID]]=$A12,0)),"")</f>
        <v/>
      </c>
      <c r="X12" t="str" cm="1">
        <f t="array" ref="X12">IF(IFERROR(MAX(_xlfn._xlws.FILTER(Tabla1[[#Data],[GyZ]],Tabla1[[ID]:[ID]]=$A12,0)),"")=0,"",IFERROR(MAX(_xlfn._xlws.FILTER(Tabla1[[#Data],[GyZ]],Tabla1[[ID]:[ID]]=$A12,0)),""))</f>
        <v/>
      </c>
      <c r="Y12" t="str" cm="1">
        <f t="array" ref="Y12">IF(IFERROR(MIN(_xlfn._xlws.FILTER(Tabla1[[#Data],[GyZ]],Tabla1[[ID]:[ID]]=$A12,0)),"")=0,"",IFERROR(MIN(_xlfn._xlws.FILTER(Tabla1[[#Data],[GyZ]],Tabla1[[ID]:[ID]]=$A12,0)),""))</f>
        <v/>
      </c>
      <c r="Z12" t="str" cm="1">
        <f t="array" ref="Z12">IF(ISNUMBER(A12),IF(ISNUMBER(MATCH(1,_xlfn._xlws.FILTER(Tabla1[[#Data],[Open]],Tabla1[[ID]:[ID]]=$A12,""))),1,0),"")</f>
        <v/>
      </c>
      <c r="AA12" t="str">
        <f t="shared" si="0"/>
        <v/>
      </c>
      <c r="AB12" t="str">
        <f t="shared" si="1"/>
        <v/>
      </c>
      <c r="AC12" t="str">
        <f t="shared" si="2"/>
        <v/>
      </c>
      <c r="AD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J12" t="str">
        <f t="shared" si="9"/>
        <v/>
      </c>
    </row>
    <row r="13" spans="1:47" x14ac:dyDescent="0.35">
      <c r="B13" t="str" cm="1">
        <f t="array" ref="B13">IFERROR(AVERAGE(_xlfn._xlws.FILTER(Tabla1[[#Data],[Temperatura]],Tabla1[[ID]:[ID]]=$A13,0)),"")</f>
        <v/>
      </c>
      <c r="C13" t="str" cm="1">
        <f t="array" ref="C13">IF(IFERROR(MAX(_xlfn._xlws.FILTER(Tabla1[[#Data],[Temperatura]],Tabla1[[ID]:[ID]]=$A13,0)),"")=0,"",IFERROR(MAX(_xlfn._xlws.FILTER(Tabla1[[#Data],[Temperatura]],Tabla1[[ID]:[ID]]=$A13,0)),""))</f>
        <v/>
      </c>
      <c r="D13" t="str" cm="1">
        <f t="array" ref="D13">IF(IFERROR(MIN(_xlfn._xlws.FILTER(Tabla1[[#Data],[Temperatura]],Tabla1[[ID]:[ID]]=$A13,0)),"")=0,"",IFERROR(MIN(_xlfn._xlws.FILTER(Tabla1[[#Data],[Temperatura]],Tabla1[[ID]:[ID]]=$A13,0)),""))</f>
        <v/>
      </c>
      <c r="E13" t="str" cm="1">
        <f t="array" ref="E13">IFERROR(AVERAGE(_xlfn._xlws.FILTER(Tabla1[[#Data],[Humidade]],Tabla1[[ID]:[ID]]=$A13,0)),"")</f>
        <v/>
      </c>
      <c r="F13" t="str" cm="1">
        <f t="array" ref="F13">IF(IFERROR(MAX(_xlfn._xlws.FILTER(Tabla1[[#Data],[Humidade]],Tabla1[[ID]:[ID]]=$A13,0)),"")=0,"",IFERROR(MAX(_xlfn._xlws.FILTER(Tabla1[[#Data],[Humidade]],Tabla1[[ID]:[ID]]=$A13,0)),""))</f>
        <v/>
      </c>
      <c r="G13" t="str" cm="1">
        <f t="array" ref="G13">IF(IFERROR(MIN(_xlfn._xlws.FILTER(Tabla1[[#Data],[Humidade]],Tabla1[[ID]:[ID]]=$A13,0)),"")=0,"",IFERROR(MIN(_xlfn._xlws.FILTER(Tabla1[[#Data],[Humidade]],Tabla1[[ID]:[ID]]=$A13,0)),""))</f>
        <v/>
      </c>
      <c r="H13" t="str" cm="1">
        <f t="array" ref="H13">IFERROR(AVERAGE(_xlfn._xlws.FILTER(Tabla1[[#Data],[AcX]],Tabla1[[ID]:[ID]]=$A13,0)),"")</f>
        <v/>
      </c>
      <c r="I13" t="str" cm="1">
        <f t="array" ref="I13">IF(IFERROR(MAX(_xlfn._xlws.FILTER(Tabla1[[#Data],[AcX]],Tabla1[[ID]:[ID]]=$A13,0)),"")=0,"",IFERROR(MAX(_xlfn._xlws.FILTER(Tabla1[[#Data],[AcX]],Tabla1[[ID]:[ID]]=$A13,0)),""))</f>
        <v/>
      </c>
      <c r="J13" t="str" cm="1">
        <f t="array" ref="J13">IF(IFERROR(MIN(_xlfn._xlws.FILTER(Tabla1[[#Data],[AcX]],Tabla1[[ID]:[ID]]=$A13,0)),"")=0,"",IFERROR(MIN(_xlfn._xlws.FILTER(Tabla1[[#Data],[AcX]],Tabla1[[ID]:[ID]]=$A13,0)),""))</f>
        <v/>
      </c>
      <c r="K13" t="str" cm="1">
        <f t="array" ref="K13">IFERROR(AVERAGE(_xlfn._xlws.FILTER(Tabla1[[#Data],[AcY]],Tabla1[[ID]:[ID]]=$A13,0)),"")</f>
        <v/>
      </c>
      <c r="L13" t="str" cm="1">
        <f t="array" ref="L13">IF(IFERROR(MAX(_xlfn._xlws.FILTER(Tabla1[[#Data],[AcY]],Tabla1[[ID]:[ID]]=$A13,0)),"")=0,"",IFERROR(MAX(_xlfn._xlws.FILTER(Tabla1[[#Data],[AcY]],Tabla1[[ID]:[ID]]=$A13,0)),""))</f>
        <v/>
      </c>
      <c r="M13" t="str" cm="1">
        <f t="array" ref="M13">IF(IFERROR(MIN(_xlfn._xlws.FILTER(Tabla1[[#Data],[AcY]],Tabla1[[ID]:[ID]]=$A13,0)),"")=0,"",IFERROR(MIN(_xlfn._xlws.FILTER(Tabla1[[#Data],[AcY]],Tabla1[[ID]:[ID]]=$A13,0)),""))</f>
        <v/>
      </c>
      <c r="N13" t="str" cm="1">
        <f t="array" ref="N13">IFERROR(AVERAGE(_xlfn._xlws.FILTER(Tabla1[[#Data],[AcZ]],Tabla1[[ID]:[ID]]=$A13,0)),"")</f>
        <v/>
      </c>
      <c r="O13" t="str" cm="1">
        <f t="array" ref="O13">IF(IFERROR(MAX(_xlfn._xlws.FILTER(Tabla1[[#Data],[AcZ]],Tabla1[[ID]:[ID]]=$A13,0)),"")=0,"",IFERROR(MAX(_xlfn._xlws.FILTER(Tabla1[[#Data],[AcZ]],Tabla1[[ID]:[ID]]=$A13,0)),""))</f>
        <v/>
      </c>
      <c r="P13" t="str" cm="1">
        <f t="array" ref="P13">IF(IFERROR(MIN(_xlfn._xlws.FILTER(Tabla1[[#Data],[AcZ]],Tabla1[[ID]:[ID]]=$A13,0)),"")=0,"",IFERROR(MIN(_xlfn._xlws.FILTER(Tabla1[[#Data],[AcZ]],Tabla1[[ID]:[ID]]=$A13,0)),""))</f>
        <v/>
      </c>
      <c r="Q13" t="str" cm="1">
        <f t="array" ref="Q13">IFERROR(AVERAGE(_xlfn._xlws.FILTER(Tabla1[[#Data],[GyX]],Tabla1[[ID]:[ID]]=$A13,0)),"")</f>
        <v/>
      </c>
      <c r="R13" t="str" cm="1">
        <f t="array" ref="R13">IF(IFERROR(MAX(_xlfn._xlws.FILTER(Tabla1[[#Data],[GyX]],Tabla1[[ID]:[ID]]=$A13,0)),"")=0,"",IFERROR(MAX(_xlfn._xlws.FILTER(Tabla1[[#Data],[GyX]],Tabla1[[ID]:[ID]]=$A13,0)),""))</f>
        <v/>
      </c>
      <c r="S13" t="str" cm="1">
        <f t="array" ref="S13">IF(IFERROR(MIN(_xlfn._xlws.FILTER(Tabla1[[#Data],[GyX]],Tabla1[[ID]:[ID]]=$A13,0)),"")=0,"",IFERROR(MIN(_xlfn._xlws.FILTER(Tabla1[[#Data],[GyX]],Tabla1[[ID]:[ID]]=$A13,0)),""))</f>
        <v/>
      </c>
      <c r="T13" t="str" cm="1">
        <f t="array" ref="T13">IFERROR(AVERAGE(_xlfn._xlws.FILTER(Tabla1[[#Data],[GyY]],Tabla1[[ID]:[ID]]=$A13,0)),"")</f>
        <v/>
      </c>
      <c r="U13" t="str" cm="1">
        <f t="array" ref="U13">IF(IFERROR(MAX(_xlfn._xlws.FILTER(Tabla1[[#Data],[GyY]],Tabla1[[ID]:[ID]]=$A13,0)),"")=0,"",IFERROR(MAX(_xlfn._xlws.FILTER(Tabla1[[#Data],[GyY]],Tabla1[[ID]:[ID]]=$A13,0)),""))</f>
        <v/>
      </c>
      <c r="V13" t="str" cm="1">
        <f t="array" ref="V13">IF(IFERROR(MIN(_xlfn._xlws.FILTER(Tabla1[[#Data],[GyY]],Tabla1[[ID]:[ID]]=$A13,0)),"")=0,"",IFERROR(MIN(_xlfn._xlws.FILTER(Tabla1[[#Data],[GyY]],Tabla1[[ID]:[ID]]=$A13,0)),""))</f>
        <v/>
      </c>
      <c r="W13" t="str" cm="1">
        <f t="array" ref="W13">IFERROR(AVERAGE(_xlfn._xlws.FILTER(Tabla1[[#Data],[GyZ]],Tabla1[[ID]:[ID]]=$A13,0)),"")</f>
        <v/>
      </c>
      <c r="X13" t="str" cm="1">
        <f t="array" ref="X13">IF(IFERROR(MAX(_xlfn._xlws.FILTER(Tabla1[[#Data],[GyZ]],Tabla1[[ID]:[ID]]=$A13,0)),"")=0,"",IFERROR(MAX(_xlfn._xlws.FILTER(Tabla1[[#Data],[GyZ]],Tabla1[[ID]:[ID]]=$A13,0)),""))</f>
        <v/>
      </c>
      <c r="Y13" t="str" cm="1">
        <f t="array" ref="Y13">IF(IFERROR(MIN(_xlfn._xlws.FILTER(Tabla1[[#Data],[GyZ]],Tabla1[[ID]:[ID]]=$A13,0)),"")=0,"",IFERROR(MIN(_xlfn._xlws.FILTER(Tabla1[[#Data],[GyZ]],Tabla1[[ID]:[ID]]=$A13,0)),""))</f>
        <v/>
      </c>
      <c r="Z13" t="str" cm="1">
        <f t="array" ref="Z13">IF(ISNUMBER(A13),IF(ISNUMBER(MATCH(1,_xlfn._xlws.FILTER(Tabla1[[#Data],[Open]],Tabla1[[ID]:[ID]]=$A13,""))),1,0),"")</f>
        <v/>
      </c>
      <c r="AA13" t="str">
        <f t="shared" si="0"/>
        <v/>
      </c>
      <c r="AB13" t="str">
        <f t="shared" si="1"/>
        <v/>
      </c>
      <c r="AC13" t="str">
        <f t="shared" si="2"/>
        <v/>
      </c>
      <c r="AD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J13" t="str">
        <f t="shared" si="9"/>
        <v/>
      </c>
    </row>
    <row r="14" spans="1:47" x14ac:dyDescent="0.35">
      <c r="B14" t="str" cm="1">
        <f t="array" ref="B14">IFERROR(AVERAGE(_xlfn._xlws.FILTER(Tabla1[[#Data],[Temperatura]],Tabla1[[ID]:[ID]]=$A14,0)),"")</f>
        <v/>
      </c>
      <c r="C14" t="str" cm="1">
        <f t="array" ref="C14">IF(IFERROR(MAX(_xlfn._xlws.FILTER(Tabla1[[#Data],[Temperatura]],Tabla1[[ID]:[ID]]=$A14,0)),"")=0,"",IFERROR(MAX(_xlfn._xlws.FILTER(Tabla1[[#Data],[Temperatura]],Tabla1[[ID]:[ID]]=$A14,0)),""))</f>
        <v/>
      </c>
      <c r="D14" t="str" cm="1">
        <f t="array" ref="D14">IF(IFERROR(MIN(_xlfn._xlws.FILTER(Tabla1[[#Data],[Temperatura]],Tabla1[[ID]:[ID]]=$A14,0)),"")=0,"",IFERROR(MIN(_xlfn._xlws.FILTER(Tabla1[[#Data],[Temperatura]],Tabla1[[ID]:[ID]]=$A14,0)),""))</f>
        <v/>
      </c>
      <c r="E14" t="str" cm="1">
        <f t="array" ref="E14">IFERROR(AVERAGE(_xlfn._xlws.FILTER(Tabla1[[#Data],[Humidade]],Tabla1[[ID]:[ID]]=$A14,0)),"")</f>
        <v/>
      </c>
      <c r="F14" t="str" cm="1">
        <f t="array" ref="F14">IF(IFERROR(MAX(_xlfn._xlws.FILTER(Tabla1[[#Data],[Humidade]],Tabla1[[ID]:[ID]]=$A14,0)),"")=0,"",IFERROR(MAX(_xlfn._xlws.FILTER(Tabla1[[#Data],[Humidade]],Tabla1[[ID]:[ID]]=$A14,0)),""))</f>
        <v/>
      </c>
      <c r="G14" t="str" cm="1">
        <f t="array" ref="G14">IF(IFERROR(MIN(_xlfn._xlws.FILTER(Tabla1[[#Data],[Humidade]],Tabla1[[ID]:[ID]]=$A14,0)),"")=0,"",IFERROR(MIN(_xlfn._xlws.FILTER(Tabla1[[#Data],[Humidade]],Tabla1[[ID]:[ID]]=$A14,0)),""))</f>
        <v/>
      </c>
      <c r="H14" t="str" cm="1">
        <f t="array" ref="H14">IFERROR(AVERAGE(_xlfn._xlws.FILTER(Tabla1[[#Data],[AcX]],Tabla1[[ID]:[ID]]=$A14,0)),"")</f>
        <v/>
      </c>
      <c r="I14" t="str" cm="1">
        <f t="array" ref="I14">IF(IFERROR(MAX(_xlfn._xlws.FILTER(Tabla1[[#Data],[AcX]],Tabla1[[ID]:[ID]]=$A14,0)),"")=0,"",IFERROR(MAX(_xlfn._xlws.FILTER(Tabla1[[#Data],[AcX]],Tabla1[[ID]:[ID]]=$A14,0)),""))</f>
        <v/>
      </c>
      <c r="J14" t="str" cm="1">
        <f t="array" ref="J14">IF(IFERROR(MIN(_xlfn._xlws.FILTER(Tabla1[[#Data],[AcX]],Tabla1[[ID]:[ID]]=$A14,0)),"")=0,"",IFERROR(MIN(_xlfn._xlws.FILTER(Tabla1[[#Data],[AcX]],Tabla1[[ID]:[ID]]=$A14,0)),""))</f>
        <v/>
      </c>
      <c r="K14" t="str" cm="1">
        <f t="array" ref="K14">IFERROR(AVERAGE(_xlfn._xlws.FILTER(Tabla1[[#Data],[AcY]],Tabla1[[ID]:[ID]]=$A14,0)),"")</f>
        <v/>
      </c>
      <c r="L14" t="str" cm="1">
        <f t="array" ref="L14">IF(IFERROR(MAX(_xlfn._xlws.FILTER(Tabla1[[#Data],[AcY]],Tabla1[[ID]:[ID]]=$A14,0)),"")=0,"",IFERROR(MAX(_xlfn._xlws.FILTER(Tabla1[[#Data],[AcY]],Tabla1[[ID]:[ID]]=$A14,0)),""))</f>
        <v/>
      </c>
      <c r="M14" t="str" cm="1">
        <f t="array" ref="M14">IF(IFERROR(MIN(_xlfn._xlws.FILTER(Tabla1[[#Data],[AcY]],Tabla1[[ID]:[ID]]=$A14,0)),"")=0,"",IFERROR(MIN(_xlfn._xlws.FILTER(Tabla1[[#Data],[AcY]],Tabla1[[ID]:[ID]]=$A14,0)),""))</f>
        <v/>
      </c>
      <c r="N14" t="str" cm="1">
        <f t="array" ref="N14">IFERROR(AVERAGE(_xlfn._xlws.FILTER(Tabla1[[#Data],[AcZ]],Tabla1[[ID]:[ID]]=$A14,0)),"")</f>
        <v/>
      </c>
      <c r="O14" t="str" cm="1">
        <f t="array" ref="O14">IF(IFERROR(MAX(_xlfn._xlws.FILTER(Tabla1[[#Data],[AcZ]],Tabla1[[ID]:[ID]]=$A14,0)),"")=0,"",IFERROR(MAX(_xlfn._xlws.FILTER(Tabla1[[#Data],[AcZ]],Tabla1[[ID]:[ID]]=$A14,0)),""))</f>
        <v/>
      </c>
      <c r="P14" t="str" cm="1">
        <f t="array" ref="P14">IF(IFERROR(MIN(_xlfn._xlws.FILTER(Tabla1[[#Data],[AcZ]],Tabla1[[ID]:[ID]]=$A14,0)),"")=0,"",IFERROR(MIN(_xlfn._xlws.FILTER(Tabla1[[#Data],[AcZ]],Tabla1[[ID]:[ID]]=$A14,0)),""))</f>
        <v/>
      </c>
      <c r="Q14" t="str" cm="1">
        <f t="array" ref="Q14">IFERROR(AVERAGE(_xlfn._xlws.FILTER(Tabla1[[#Data],[GyX]],Tabla1[[ID]:[ID]]=$A14,0)),"")</f>
        <v/>
      </c>
      <c r="R14" t="str" cm="1">
        <f t="array" ref="R14">IF(IFERROR(MAX(_xlfn._xlws.FILTER(Tabla1[[#Data],[GyX]],Tabla1[[ID]:[ID]]=$A14,0)),"")=0,"",IFERROR(MAX(_xlfn._xlws.FILTER(Tabla1[[#Data],[GyX]],Tabla1[[ID]:[ID]]=$A14,0)),""))</f>
        <v/>
      </c>
      <c r="S14" t="str" cm="1">
        <f t="array" ref="S14">IF(IFERROR(MIN(_xlfn._xlws.FILTER(Tabla1[[#Data],[GyX]],Tabla1[[ID]:[ID]]=$A14,0)),"")=0,"",IFERROR(MIN(_xlfn._xlws.FILTER(Tabla1[[#Data],[GyX]],Tabla1[[ID]:[ID]]=$A14,0)),""))</f>
        <v/>
      </c>
      <c r="T14" t="str" cm="1">
        <f t="array" ref="T14">IFERROR(AVERAGE(_xlfn._xlws.FILTER(Tabla1[[#Data],[GyY]],Tabla1[[ID]:[ID]]=$A14,0)),"")</f>
        <v/>
      </c>
      <c r="U14" t="str" cm="1">
        <f t="array" ref="U14">IF(IFERROR(MAX(_xlfn._xlws.FILTER(Tabla1[[#Data],[GyY]],Tabla1[[ID]:[ID]]=$A14,0)),"")=0,"",IFERROR(MAX(_xlfn._xlws.FILTER(Tabla1[[#Data],[GyY]],Tabla1[[ID]:[ID]]=$A14,0)),""))</f>
        <v/>
      </c>
      <c r="V14" t="str" cm="1">
        <f t="array" ref="V14">IF(IFERROR(MIN(_xlfn._xlws.FILTER(Tabla1[[#Data],[GyY]],Tabla1[[ID]:[ID]]=$A14,0)),"")=0,"",IFERROR(MIN(_xlfn._xlws.FILTER(Tabla1[[#Data],[GyY]],Tabla1[[ID]:[ID]]=$A14,0)),""))</f>
        <v/>
      </c>
      <c r="W14" t="str" cm="1">
        <f t="array" ref="W14">IFERROR(AVERAGE(_xlfn._xlws.FILTER(Tabla1[[#Data],[GyZ]],Tabla1[[ID]:[ID]]=$A14,0)),"")</f>
        <v/>
      </c>
      <c r="X14" t="str" cm="1">
        <f t="array" ref="X14">IF(IFERROR(MAX(_xlfn._xlws.FILTER(Tabla1[[#Data],[GyZ]],Tabla1[[ID]:[ID]]=$A14,0)),"")=0,"",IFERROR(MAX(_xlfn._xlws.FILTER(Tabla1[[#Data],[GyZ]],Tabla1[[ID]:[ID]]=$A14,0)),""))</f>
        <v/>
      </c>
      <c r="Y14" t="str" cm="1">
        <f t="array" ref="Y14">IF(IFERROR(MIN(_xlfn._xlws.FILTER(Tabla1[[#Data],[GyZ]],Tabla1[[ID]:[ID]]=$A14,0)),"")=0,"",IFERROR(MIN(_xlfn._xlws.FILTER(Tabla1[[#Data],[GyZ]],Tabla1[[ID]:[ID]]=$A14,0)),""))</f>
        <v/>
      </c>
      <c r="Z14" t="str" cm="1">
        <f t="array" ref="Z14">IF(ISNUMBER(A14),IF(ISNUMBER(MATCH(1,_xlfn._xlws.FILTER(Tabla1[[#Data],[Open]],Tabla1[[ID]:[ID]]=$A14,""))),1,0),"")</f>
        <v/>
      </c>
      <c r="AA14" t="str">
        <f t="shared" si="0"/>
        <v/>
      </c>
      <c r="AB14" t="str">
        <f t="shared" si="1"/>
        <v/>
      </c>
      <c r="AC14" t="str">
        <f t="shared" si="2"/>
        <v/>
      </c>
      <c r="AD14" t="str">
        <f t="shared" si="3"/>
        <v/>
      </c>
      <c r="AE14" t="str">
        <f t="shared" si="4"/>
        <v/>
      </c>
      <c r="AF14" t="str">
        <f t="shared" si="5"/>
        <v/>
      </c>
      <c r="AG14" t="str">
        <f t="shared" si="6"/>
        <v/>
      </c>
      <c r="AH14" t="str">
        <f t="shared" si="7"/>
        <v/>
      </c>
      <c r="AI14" t="str">
        <f t="shared" si="8"/>
        <v/>
      </c>
      <c r="AJ14" t="str">
        <f t="shared" si="9"/>
        <v/>
      </c>
    </row>
    <row r="15" spans="1:47" x14ac:dyDescent="0.35">
      <c r="B15" t="str" cm="1">
        <f t="array" ref="B15">IFERROR(AVERAGE(_xlfn._xlws.FILTER(Tabla1[[#Data],[Temperatura]],Tabla1[[ID]:[ID]]=$A15,0)),"")</f>
        <v/>
      </c>
      <c r="C15" t="str" cm="1">
        <f t="array" ref="C15">IF(IFERROR(MAX(_xlfn._xlws.FILTER(Tabla1[[#Data],[Temperatura]],Tabla1[[ID]:[ID]]=$A15,0)),"")=0,"",IFERROR(MAX(_xlfn._xlws.FILTER(Tabla1[[#Data],[Temperatura]],Tabla1[[ID]:[ID]]=$A15,0)),""))</f>
        <v/>
      </c>
      <c r="D15" t="str" cm="1">
        <f t="array" ref="D15">IF(IFERROR(MIN(_xlfn._xlws.FILTER(Tabla1[[#Data],[Temperatura]],Tabla1[[ID]:[ID]]=$A15,0)),"")=0,"",IFERROR(MIN(_xlfn._xlws.FILTER(Tabla1[[#Data],[Temperatura]],Tabla1[[ID]:[ID]]=$A15,0)),""))</f>
        <v/>
      </c>
      <c r="E15" t="str" cm="1">
        <f t="array" ref="E15">IFERROR(AVERAGE(_xlfn._xlws.FILTER(Tabla1[[#Data],[Humidade]],Tabla1[[ID]:[ID]]=$A15,0)),"")</f>
        <v/>
      </c>
      <c r="F15" t="str" cm="1">
        <f t="array" ref="F15">IF(IFERROR(MAX(_xlfn._xlws.FILTER(Tabla1[[#Data],[Humidade]],Tabla1[[ID]:[ID]]=$A15,0)),"")=0,"",IFERROR(MAX(_xlfn._xlws.FILTER(Tabla1[[#Data],[Humidade]],Tabla1[[ID]:[ID]]=$A15,0)),""))</f>
        <v/>
      </c>
      <c r="G15" t="str" cm="1">
        <f t="array" ref="G15">IF(IFERROR(MIN(_xlfn._xlws.FILTER(Tabla1[[#Data],[Humidade]],Tabla1[[ID]:[ID]]=$A15,0)),"")=0,"",IFERROR(MIN(_xlfn._xlws.FILTER(Tabla1[[#Data],[Humidade]],Tabla1[[ID]:[ID]]=$A15,0)),""))</f>
        <v/>
      </c>
      <c r="H15" t="str" cm="1">
        <f t="array" ref="H15">IFERROR(AVERAGE(_xlfn._xlws.FILTER(Tabla1[[#Data],[AcX]],Tabla1[[ID]:[ID]]=$A15,0)),"")</f>
        <v/>
      </c>
      <c r="I15" t="str" cm="1">
        <f t="array" ref="I15">IF(IFERROR(MAX(_xlfn._xlws.FILTER(Tabla1[[#Data],[AcX]],Tabla1[[ID]:[ID]]=$A15,0)),"")=0,"",IFERROR(MAX(_xlfn._xlws.FILTER(Tabla1[[#Data],[AcX]],Tabla1[[ID]:[ID]]=$A15,0)),""))</f>
        <v/>
      </c>
      <c r="J15" t="str" cm="1">
        <f t="array" ref="J15">IF(IFERROR(MIN(_xlfn._xlws.FILTER(Tabla1[[#Data],[AcX]],Tabla1[[ID]:[ID]]=$A15,0)),"")=0,"",IFERROR(MIN(_xlfn._xlws.FILTER(Tabla1[[#Data],[AcX]],Tabla1[[ID]:[ID]]=$A15,0)),""))</f>
        <v/>
      </c>
      <c r="K15" t="str" cm="1">
        <f t="array" ref="K15">IFERROR(AVERAGE(_xlfn._xlws.FILTER(Tabla1[[#Data],[AcY]],Tabla1[[ID]:[ID]]=$A15,0)),"")</f>
        <v/>
      </c>
      <c r="L15" t="str" cm="1">
        <f t="array" ref="L15">IF(IFERROR(MAX(_xlfn._xlws.FILTER(Tabla1[[#Data],[AcY]],Tabla1[[ID]:[ID]]=$A15,0)),"")=0,"",IFERROR(MAX(_xlfn._xlws.FILTER(Tabla1[[#Data],[AcY]],Tabla1[[ID]:[ID]]=$A15,0)),""))</f>
        <v/>
      </c>
      <c r="M15" t="str" cm="1">
        <f t="array" ref="M15">IF(IFERROR(MIN(_xlfn._xlws.FILTER(Tabla1[[#Data],[AcY]],Tabla1[[ID]:[ID]]=$A15,0)),"")=0,"",IFERROR(MIN(_xlfn._xlws.FILTER(Tabla1[[#Data],[AcY]],Tabla1[[ID]:[ID]]=$A15,0)),""))</f>
        <v/>
      </c>
      <c r="N15" t="str" cm="1">
        <f t="array" ref="N15">IFERROR(AVERAGE(_xlfn._xlws.FILTER(Tabla1[[#Data],[AcZ]],Tabla1[[ID]:[ID]]=$A15,0)),"")</f>
        <v/>
      </c>
      <c r="O15" t="str" cm="1">
        <f t="array" ref="O15">IF(IFERROR(MAX(_xlfn._xlws.FILTER(Tabla1[[#Data],[AcZ]],Tabla1[[ID]:[ID]]=$A15,0)),"")=0,"",IFERROR(MAX(_xlfn._xlws.FILTER(Tabla1[[#Data],[AcZ]],Tabla1[[ID]:[ID]]=$A15,0)),""))</f>
        <v/>
      </c>
      <c r="P15" t="str" cm="1">
        <f t="array" ref="P15">IF(IFERROR(MIN(_xlfn._xlws.FILTER(Tabla1[[#Data],[AcZ]],Tabla1[[ID]:[ID]]=$A15,0)),"")=0,"",IFERROR(MIN(_xlfn._xlws.FILTER(Tabla1[[#Data],[AcZ]],Tabla1[[ID]:[ID]]=$A15,0)),""))</f>
        <v/>
      </c>
      <c r="Q15" t="str" cm="1">
        <f t="array" ref="Q15">IFERROR(AVERAGE(_xlfn._xlws.FILTER(Tabla1[[#Data],[GyX]],Tabla1[[ID]:[ID]]=$A15,0)),"")</f>
        <v/>
      </c>
      <c r="R15" t="str" cm="1">
        <f t="array" ref="R15">IF(IFERROR(MAX(_xlfn._xlws.FILTER(Tabla1[[#Data],[GyX]],Tabla1[[ID]:[ID]]=$A15,0)),"")=0,"",IFERROR(MAX(_xlfn._xlws.FILTER(Tabla1[[#Data],[GyX]],Tabla1[[ID]:[ID]]=$A15,0)),""))</f>
        <v/>
      </c>
      <c r="S15" t="str" cm="1">
        <f t="array" ref="S15">IF(IFERROR(MIN(_xlfn._xlws.FILTER(Tabla1[[#Data],[GyX]],Tabla1[[ID]:[ID]]=$A15,0)),"")=0,"",IFERROR(MIN(_xlfn._xlws.FILTER(Tabla1[[#Data],[GyX]],Tabla1[[ID]:[ID]]=$A15,0)),""))</f>
        <v/>
      </c>
      <c r="T15" t="str" cm="1">
        <f t="array" ref="T15">IFERROR(AVERAGE(_xlfn._xlws.FILTER(Tabla1[[#Data],[GyY]],Tabla1[[ID]:[ID]]=$A15,0)),"")</f>
        <v/>
      </c>
      <c r="U15" t="str" cm="1">
        <f t="array" ref="U15">IF(IFERROR(MAX(_xlfn._xlws.FILTER(Tabla1[[#Data],[GyY]],Tabla1[[ID]:[ID]]=$A15,0)),"")=0,"",IFERROR(MAX(_xlfn._xlws.FILTER(Tabla1[[#Data],[GyY]],Tabla1[[ID]:[ID]]=$A15,0)),""))</f>
        <v/>
      </c>
      <c r="V15" t="str" cm="1">
        <f t="array" ref="V15">IF(IFERROR(MIN(_xlfn._xlws.FILTER(Tabla1[[#Data],[GyY]],Tabla1[[ID]:[ID]]=$A15,0)),"")=0,"",IFERROR(MIN(_xlfn._xlws.FILTER(Tabla1[[#Data],[GyY]],Tabla1[[ID]:[ID]]=$A15,0)),""))</f>
        <v/>
      </c>
      <c r="W15" t="str" cm="1">
        <f t="array" ref="W15">IFERROR(AVERAGE(_xlfn._xlws.FILTER(Tabla1[[#Data],[GyZ]],Tabla1[[ID]:[ID]]=$A15,0)),"")</f>
        <v/>
      </c>
      <c r="X15" t="str" cm="1">
        <f t="array" ref="X15">IF(IFERROR(MAX(_xlfn._xlws.FILTER(Tabla1[[#Data],[GyZ]],Tabla1[[ID]:[ID]]=$A15,0)),"")=0,"",IFERROR(MAX(_xlfn._xlws.FILTER(Tabla1[[#Data],[GyZ]],Tabla1[[ID]:[ID]]=$A15,0)),""))</f>
        <v/>
      </c>
      <c r="Y15" t="str" cm="1">
        <f t="array" ref="Y15">IF(IFERROR(MIN(_xlfn._xlws.FILTER(Tabla1[[#Data],[GyZ]],Tabla1[[ID]:[ID]]=$A15,0)),"")=0,"",IFERROR(MIN(_xlfn._xlws.FILTER(Tabla1[[#Data],[GyZ]],Tabla1[[ID]:[ID]]=$A15,0)),""))</f>
        <v/>
      </c>
      <c r="Z15" t="str" cm="1">
        <f t="array" ref="Z15">IF(ISNUMBER(A15),IF(ISNUMBER(MATCH(1,_xlfn._xlws.FILTER(Tabla1[[#Data],[Open]],Tabla1[[ID]:[ID]]=$A15,""))),1,0),"")</f>
        <v/>
      </c>
      <c r="AA15" t="str">
        <f t="shared" si="0"/>
        <v/>
      </c>
      <c r="AB15" t="str">
        <f t="shared" si="1"/>
        <v/>
      </c>
      <c r="AC15" t="str">
        <f t="shared" si="2"/>
        <v/>
      </c>
      <c r="AD15" t="str">
        <f t="shared" si="3"/>
        <v/>
      </c>
      <c r="AE15" t="str">
        <f t="shared" si="4"/>
        <v/>
      </c>
      <c r="AF15" t="str">
        <f t="shared" si="5"/>
        <v/>
      </c>
      <c r="AG15" t="str">
        <f t="shared" si="6"/>
        <v/>
      </c>
      <c r="AH15" t="str">
        <f t="shared" si="7"/>
        <v/>
      </c>
      <c r="AI15" t="str">
        <f t="shared" si="8"/>
        <v/>
      </c>
      <c r="AJ15" t="str">
        <f t="shared" si="9"/>
        <v/>
      </c>
    </row>
    <row r="16" spans="1:47" x14ac:dyDescent="0.35">
      <c r="B16" t="str" cm="1">
        <f t="array" ref="B16">IFERROR(AVERAGE(_xlfn._xlws.FILTER(Tabla1[[#Data],[Temperatura]],Tabla1[[ID]:[ID]]=$A16,0)),"")</f>
        <v/>
      </c>
      <c r="C16" t="str" cm="1">
        <f t="array" ref="C16">IF(IFERROR(MAX(_xlfn._xlws.FILTER(Tabla1[[#Data],[Temperatura]],Tabla1[[ID]:[ID]]=$A16,0)),"")=0,"",IFERROR(MAX(_xlfn._xlws.FILTER(Tabla1[[#Data],[Temperatura]],Tabla1[[ID]:[ID]]=$A16,0)),""))</f>
        <v/>
      </c>
      <c r="D16" t="str" cm="1">
        <f t="array" ref="D16">IF(IFERROR(MIN(_xlfn._xlws.FILTER(Tabla1[[#Data],[Temperatura]],Tabla1[[ID]:[ID]]=$A16,0)),"")=0,"",IFERROR(MIN(_xlfn._xlws.FILTER(Tabla1[[#Data],[Temperatura]],Tabla1[[ID]:[ID]]=$A16,0)),""))</f>
        <v/>
      </c>
      <c r="E16" t="str" cm="1">
        <f t="array" ref="E16">IFERROR(AVERAGE(_xlfn._xlws.FILTER(Tabla1[[#Data],[Humidade]],Tabla1[[ID]:[ID]]=$A16,0)),"")</f>
        <v/>
      </c>
      <c r="F16" t="str" cm="1">
        <f t="array" ref="F16">IF(IFERROR(MAX(_xlfn._xlws.FILTER(Tabla1[[#Data],[Humidade]],Tabla1[[ID]:[ID]]=$A16,0)),"")=0,"",IFERROR(MAX(_xlfn._xlws.FILTER(Tabla1[[#Data],[Humidade]],Tabla1[[ID]:[ID]]=$A16,0)),""))</f>
        <v/>
      </c>
      <c r="G16" t="str" cm="1">
        <f t="array" ref="G16">IF(IFERROR(MIN(_xlfn._xlws.FILTER(Tabla1[[#Data],[Humidade]],Tabla1[[ID]:[ID]]=$A16,0)),"")=0,"",IFERROR(MIN(_xlfn._xlws.FILTER(Tabla1[[#Data],[Humidade]],Tabla1[[ID]:[ID]]=$A16,0)),""))</f>
        <v/>
      </c>
      <c r="H16" t="str" cm="1">
        <f t="array" ref="H16">IFERROR(AVERAGE(_xlfn._xlws.FILTER(Tabla1[[#Data],[AcX]],Tabla1[[ID]:[ID]]=$A16,0)),"")</f>
        <v/>
      </c>
      <c r="I16" t="str" cm="1">
        <f t="array" ref="I16">IF(IFERROR(MAX(_xlfn._xlws.FILTER(Tabla1[[#Data],[AcX]],Tabla1[[ID]:[ID]]=$A16,0)),"")=0,"",IFERROR(MAX(_xlfn._xlws.FILTER(Tabla1[[#Data],[AcX]],Tabla1[[ID]:[ID]]=$A16,0)),""))</f>
        <v/>
      </c>
      <c r="J16" t="str" cm="1">
        <f t="array" ref="J16">IF(IFERROR(MIN(_xlfn._xlws.FILTER(Tabla1[[#Data],[AcX]],Tabla1[[ID]:[ID]]=$A16,0)),"")=0,"",IFERROR(MIN(_xlfn._xlws.FILTER(Tabla1[[#Data],[AcX]],Tabla1[[ID]:[ID]]=$A16,0)),""))</f>
        <v/>
      </c>
      <c r="K16" t="str" cm="1">
        <f t="array" ref="K16">IFERROR(AVERAGE(_xlfn._xlws.FILTER(Tabla1[[#Data],[AcY]],Tabla1[[ID]:[ID]]=$A16,0)),"")</f>
        <v/>
      </c>
      <c r="L16" t="str" cm="1">
        <f t="array" ref="L16">IF(IFERROR(MAX(_xlfn._xlws.FILTER(Tabla1[[#Data],[AcY]],Tabla1[[ID]:[ID]]=$A16,0)),"")=0,"",IFERROR(MAX(_xlfn._xlws.FILTER(Tabla1[[#Data],[AcY]],Tabla1[[ID]:[ID]]=$A16,0)),""))</f>
        <v/>
      </c>
      <c r="M16" t="str" cm="1">
        <f t="array" ref="M16">IF(IFERROR(MIN(_xlfn._xlws.FILTER(Tabla1[[#Data],[AcY]],Tabla1[[ID]:[ID]]=$A16,0)),"")=0,"",IFERROR(MIN(_xlfn._xlws.FILTER(Tabla1[[#Data],[AcY]],Tabla1[[ID]:[ID]]=$A16,0)),""))</f>
        <v/>
      </c>
      <c r="N16" t="str" cm="1">
        <f t="array" ref="N16">IFERROR(AVERAGE(_xlfn._xlws.FILTER(Tabla1[[#Data],[AcZ]],Tabla1[[ID]:[ID]]=$A16,0)),"")</f>
        <v/>
      </c>
      <c r="O16" t="str" cm="1">
        <f t="array" ref="O16">IF(IFERROR(MAX(_xlfn._xlws.FILTER(Tabla1[[#Data],[AcZ]],Tabla1[[ID]:[ID]]=$A16,0)),"")=0,"",IFERROR(MAX(_xlfn._xlws.FILTER(Tabla1[[#Data],[AcZ]],Tabla1[[ID]:[ID]]=$A16,0)),""))</f>
        <v/>
      </c>
      <c r="P16" t="str" cm="1">
        <f t="array" ref="P16">IF(IFERROR(MIN(_xlfn._xlws.FILTER(Tabla1[[#Data],[AcZ]],Tabla1[[ID]:[ID]]=$A16,0)),"")=0,"",IFERROR(MIN(_xlfn._xlws.FILTER(Tabla1[[#Data],[AcZ]],Tabla1[[ID]:[ID]]=$A16,0)),""))</f>
        <v/>
      </c>
      <c r="Q16" t="str" cm="1">
        <f t="array" ref="Q16">IFERROR(AVERAGE(_xlfn._xlws.FILTER(Tabla1[[#Data],[GyX]],Tabla1[[ID]:[ID]]=$A16,0)),"")</f>
        <v/>
      </c>
      <c r="R16" t="str" cm="1">
        <f t="array" ref="R16">IF(IFERROR(MAX(_xlfn._xlws.FILTER(Tabla1[[#Data],[GyX]],Tabla1[[ID]:[ID]]=$A16,0)),"")=0,"",IFERROR(MAX(_xlfn._xlws.FILTER(Tabla1[[#Data],[GyX]],Tabla1[[ID]:[ID]]=$A16,0)),""))</f>
        <v/>
      </c>
      <c r="S16" t="str" cm="1">
        <f t="array" ref="S16">IF(IFERROR(MIN(_xlfn._xlws.FILTER(Tabla1[[#Data],[GyX]],Tabla1[[ID]:[ID]]=$A16,0)),"")=0,"",IFERROR(MIN(_xlfn._xlws.FILTER(Tabla1[[#Data],[GyX]],Tabla1[[ID]:[ID]]=$A16,0)),""))</f>
        <v/>
      </c>
      <c r="T16" t="str" cm="1">
        <f t="array" ref="T16">IFERROR(AVERAGE(_xlfn._xlws.FILTER(Tabla1[[#Data],[GyY]],Tabla1[[ID]:[ID]]=$A16,0)),"")</f>
        <v/>
      </c>
      <c r="U16" t="str" cm="1">
        <f t="array" ref="U16">IF(IFERROR(MAX(_xlfn._xlws.FILTER(Tabla1[[#Data],[GyY]],Tabla1[[ID]:[ID]]=$A16,0)),"")=0,"",IFERROR(MAX(_xlfn._xlws.FILTER(Tabla1[[#Data],[GyY]],Tabla1[[ID]:[ID]]=$A16,0)),""))</f>
        <v/>
      </c>
      <c r="V16" t="str" cm="1">
        <f t="array" ref="V16">IF(IFERROR(MIN(_xlfn._xlws.FILTER(Tabla1[[#Data],[GyY]],Tabla1[[ID]:[ID]]=$A16,0)),"")=0,"",IFERROR(MIN(_xlfn._xlws.FILTER(Tabla1[[#Data],[GyY]],Tabla1[[ID]:[ID]]=$A16,0)),""))</f>
        <v/>
      </c>
      <c r="W16" t="str" cm="1">
        <f t="array" ref="W16">IFERROR(AVERAGE(_xlfn._xlws.FILTER(Tabla1[[#Data],[GyZ]],Tabla1[[ID]:[ID]]=$A16,0)),"")</f>
        <v/>
      </c>
      <c r="X16" t="str" cm="1">
        <f t="array" ref="X16">IF(IFERROR(MAX(_xlfn._xlws.FILTER(Tabla1[[#Data],[GyZ]],Tabla1[[ID]:[ID]]=$A16,0)),"")=0,"",IFERROR(MAX(_xlfn._xlws.FILTER(Tabla1[[#Data],[GyZ]],Tabla1[[ID]:[ID]]=$A16,0)),""))</f>
        <v/>
      </c>
      <c r="Y16" t="str" cm="1">
        <f t="array" ref="Y16">IF(IFERROR(MIN(_xlfn._xlws.FILTER(Tabla1[[#Data],[GyZ]],Tabla1[[ID]:[ID]]=$A16,0)),"")=0,"",IFERROR(MIN(_xlfn._xlws.FILTER(Tabla1[[#Data],[GyZ]],Tabla1[[ID]:[ID]]=$A16,0)),""))</f>
        <v/>
      </c>
      <c r="Z16" t="str" cm="1">
        <f t="array" ref="Z16">IF(ISNUMBER(A16),IF(ISNUMBER(MATCH(1,_xlfn._xlws.FILTER(Tabla1[[#Data],[Open]],Tabla1[[ID]:[ID]]=$A16,""))),1,0),"")</f>
        <v/>
      </c>
      <c r="AA16" t="str">
        <f t="shared" si="0"/>
        <v/>
      </c>
      <c r="AB16" t="str">
        <f t="shared" si="1"/>
        <v/>
      </c>
      <c r="AC16" t="str">
        <f t="shared" si="2"/>
        <v/>
      </c>
      <c r="AD16" t="str">
        <f t="shared" si="3"/>
        <v/>
      </c>
      <c r="AE16" t="str">
        <f t="shared" si="4"/>
        <v/>
      </c>
      <c r="AF16" t="str">
        <f t="shared" si="5"/>
        <v/>
      </c>
      <c r="AG16" t="str">
        <f t="shared" si="6"/>
        <v/>
      </c>
      <c r="AH16" t="str">
        <f t="shared" si="7"/>
        <v/>
      </c>
      <c r="AI16" t="str">
        <f t="shared" si="8"/>
        <v/>
      </c>
      <c r="AJ16" t="str">
        <f t="shared" si="9"/>
        <v/>
      </c>
    </row>
    <row r="17" spans="2:36" x14ac:dyDescent="0.35">
      <c r="B17" t="str" cm="1">
        <f t="array" ref="B17">IFERROR(AVERAGE(_xlfn._xlws.FILTER(Tabla1[[#Data],[Temperatura]],Tabla1[[ID]:[ID]]=$A17,0)),"")</f>
        <v/>
      </c>
      <c r="C17" t="str" cm="1">
        <f t="array" ref="C17">IF(IFERROR(MAX(_xlfn._xlws.FILTER(Tabla1[[#Data],[Temperatura]],Tabla1[[ID]:[ID]]=$A17,0)),"")=0,"",IFERROR(MAX(_xlfn._xlws.FILTER(Tabla1[[#Data],[Temperatura]],Tabla1[[ID]:[ID]]=$A17,0)),""))</f>
        <v/>
      </c>
      <c r="D17" t="str" cm="1">
        <f t="array" ref="D17">IF(IFERROR(MIN(_xlfn._xlws.FILTER(Tabla1[[#Data],[Temperatura]],Tabla1[[ID]:[ID]]=$A17,0)),"")=0,"",IFERROR(MIN(_xlfn._xlws.FILTER(Tabla1[[#Data],[Temperatura]],Tabla1[[ID]:[ID]]=$A17,0)),""))</f>
        <v/>
      </c>
      <c r="E17" t="str" cm="1">
        <f t="array" ref="E17">IFERROR(AVERAGE(_xlfn._xlws.FILTER(Tabla1[[#Data],[Humidade]],Tabla1[[ID]:[ID]]=$A17,0)),"")</f>
        <v/>
      </c>
      <c r="F17" t="str" cm="1">
        <f t="array" ref="F17">IF(IFERROR(MAX(_xlfn._xlws.FILTER(Tabla1[[#Data],[Humidade]],Tabla1[[ID]:[ID]]=$A17,0)),"")=0,"",IFERROR(MAX(_xlfn._xlws.FILTER(Tabla1[[#Data],[Humidade]],Tabla1[[ID]:[ID]]=$A17,0)),""))</f>
        <v/>
      </c>
      <c r="G17" t="str" cm="1">
        <f t="array" ref="G17">IF(IFERROR(MIN(_xlfn._xlws.FILTER(Tabla1[[#Data],[Humidade]],Tabla1[[ID]:[ID]]=$A17,0)),"")=0,"",IFERROR(MIN(_xlfn._xlws.FILTER(Tabla1[[#Data],[Humidade]],Tabla1[[ID]:[ID]]=$A17,0)),""))</f>
        <v/>
      </c>
      <c r="H17" t="str" cm="1">
        <f t="array" ref="H17">IFERROR(AVERAGE(_xlfn._xlws.FILTER(Tabla1[[#Data],[AcX]],Tabla1[[ID]:[ID]]=$A17,0)),"")</f>
        <v/>
      </c>
      <c r="I17" t="str" cm="1">
        <f t="array" ref="I17">IF(IFERROR(MAX(_xlfn._xlws.FILTER(Tabla1[[#Data],[AcX]],Tabla1[[ID]:[ID]]=$A17,0)),"")=0,"",IFERROR(MAX(_xlfn._xlws.FILTER(Tabla1[[#Data],[AcX]],Tabla1[[ID]:[ID]]=$A17,0)),""))</f>
        <v/>
      </c>
      <c r="J17" t="str" cm="1">
        <f t="array" ref="J17">IF(IFERROR(MIN(_xlfn._xlws.FILTER(Tabla1[[#Data],[AcX]],Tabla1[[ID]:[ID]]=$A17,0)),"")=0,"",IFERROR(MIN(_xlfn._xlws.FILTER(Tabla1[[#Data],[AcX]],Tabla1[[ID]:[ID]]=$A17,0)),""))</f>
        <v/>
      </c>
      <c r="K17" t="str" cm="1">
        <f t="array" ref="K17">IFERROR(AVERAGE(_xlfn._xlws.FILTER(Tabla1[[#Data],[AcY]],Tabla1[[ID]:[ID]]=$A17,0)),"")</f>
        <v/>
      </c>
      <c r="L17" t="str" cm="1">
        <f t="array" ref="L17">IF(IFERROR(MAX(_xlfn._xlws.FILTER(Tabla1[[#Data],[AcY]],Tabla1[[ID]:[ID]]=$A17,0)),"")=0,"",IFERROR(MAX(_xlfn._xlws.FILTER(Tabla1[[#Data],[AcY]],Tabla1[[ID]:[ID]]=$A17,0)),""))</f>
        <v/>
      </c>
      <c r="M17" t="str" cm="1">
        <f t="array" ref="M17">IF(IFERROR(MIN(_xlfn._xlws.FILTER(Tabla1[[#Data],[AcY]],Tabla1[[ID]:[ID]]=$A17,0)),"")=0,"",IFERROR(MIN(_xlfn._xlws.FILTER(Tabla1[[#Data],[AcY]],Tabla1[[ID]:[ID]]=$A17,0)),""))</f>
        <v/>
      </c>
      <c r="N17" t="str" cm="1">
        <f t="array" ref="N17">IFERROR(AVERAGE(_xlfn._xlws.FILTER(Tabla1[[#Data],[AcZ]],Tabla1[[ID]:[ID]]=$A17,0)),"")</f>
        <v/>
      </c>
      <c r="O17" t="str" cm="1">
        <f t="array" ref="O17">IF(IFERROR(MAX(_xlfn._xlws.FILTER(Tabla1[[#Data],[AcZ]],Tabla1[[ID]:[ID]]=$A17,0)),"")=0,"",IFERROR(MAX(_xlfn._xlws.FILTER(Tabla1[[#Data],[AcZ]],Tabla1[[ID]:[ID]]=$A17,0)),""))</f>
        <v/>
      </c>
      <c r="P17" t="str" cm="1">
        <f t="array" ref="P17">IF(IFERROR(MIN(_xlfn._xlws.FILTER(Tabla1[[#Data],[AcZ]],Tabla1[[ID]:[ID]]=$A17,0)),"")=0,"",IFERROR(MIN(_xlfn._xlws.FILTER(Tabla1[[#Data],[AcZ]],Tabla1[[ID]:[ID]]=$A17,0)),""))</f>
        <v/>
      </c>
      <c r="Q17" t="str" cm="1">
        <f t="array" ref="Q17">IFERROR(AVERAGE(_xlfn._xlws.FILTER(Tabla1[[#Data],[GyX]],Tabla1[[ID]:[ID]]=$A17,0)),"")</f>
        <v/>
      </c>
      <c r="R17" t="str" cm="1">
        <f t="array" ref="R17">IF(IFERROR(MAX(_xlfn._xlws.FILTER(Tabla1[[#Data],[GyX]],Tabla1[[ID]:[ID]]=$A17,0)),"")=0,"",IFERROR(MAX(_xlfn._xlws.FILTER(Tabla1[[#Data],[GyX]],Tabla1[[ID]:[ID]]=$A17,0)),""))</f>
        <v/>
      </c>
      <c r="S17" t="str" cm="1">
        <f t="array" ref="S17">IF(IFERROR(MIN(_xlfn._xlws.FILTER(Tabla1[[#Data],[GyX]],Tabla1[[ID]:[ID]]=$A17,0)),"")=0,"",IFERROR(MIN(_xlfn._xlws.FILTER(Tabla1[[#Data],[GyX]],Tabla1[[ID]:[ID]]=$A17,0)),""))</f>
        <v/>
      </c>
      <c r="T17" t="str" cm="1">
        <f t="array" ref="T17">IFERROR(AVERAGE(_xlfn._xlws.FILTER(Tabla1[[#Data],[GyY]],Tabla1[[ID]:[ID]]=$A17,0)),"")</f>
        <v/>
      </c>
      <c r="U17" t="str" cm="1">
        <f t="array" ref="U17">IF(IFERROR(MAX(_xlfn._xlws.FILTER(Tabla1[[#Data],[GyY]],Tabla1[[ID]:[ID]]=$A17,0)),"")=0,"",IFERROR(MAX(_xlfn._xlws.FILTER(Tabla1[[#Data],[GyY]],Tabla1[[ID]:[ID]]=$A17,0)),""))</f>
        <v/>
      </c>
      <c r="V17" t="str" cm="1">
        <f t="array" ref="V17">IF(IFERROR(MIN(_xlfn._xlws.FILTER(Tabla1[[#Data],[GyY]],Tabla1[[ID]:[ID]]=$A17,0)),"")=0,"",IFERROR(MIN(_xlfn._xlws.FILTER(Tabla1[[#Data],[GyY]],Tabla1[[ID]:[ID]]=$A17,0)),""))</f>
        <v/>
      </c>
      <c r="W17" t="str" cm="1">
        <f t="array" ref="W17">IFERROR(AVERAGE(_xlfn._xlws.FILTER(Tabla1[[#Data],[GyZ]],Tabla1[[ID]:[ID]]=$A17,0)),"")</f>
        <v/>
      </c>
      <c r="X17" t="str" cm="1">
        <f t="array" ref="X17">IF(IFERROR(MAX(_xlfn._xlws.FILTER(Tabla1[[#Data],[GyZ]],Tabla1[[ID]:[ID]]=$A17,0)),"")=0,"",IFERROR(MAX(_xlfn._xlws.FILTER(Tabla1[[#Data],[GyZ]],Tabla1[[ID]:[ID]]=$A17,0)),""))</f>
        <v/>
      </c>
      <c r="Y17" t="str" cm="1">
        <f t="array" ref="Y17">IF(IFERROR(MIN(_xlfn._xlws.FILTER(Tabla1[[#Data],[GyZ]],Tabla1[[ID]:[ID]]=$A17,0)),"")=0,"",IFERROR(MIN(_xlfn._xlws.FILTER(Tabla1[[#Data],[GyZ]],Tabla1[[ID]:[ID]]=$A17,0)),""))</f>
        <v/>
      </c>
      <c r="Z17" t="str" cm="1">
        <f t="array" ref="Z17">IF(ISNUMBER(A17),IF(ISNUMBER(MATCH(1,_xlfn._xlws.FILTER(Tabla1[[#Data],[Open]],Tabla1[[ID]:[ID]]=$A17,""))),1,0),"")</f>
        <v/>
      </c>
      <c r="AA17" t="str">
        <f t="shared" si="0"/>
        <v/>
      </c>
      <c r="AB17" t="str">
        <f t="shared" si="1"/>
        <v/>
      </c>
      <c r="AC17" t="str">
        <f t="shared" si="2"/>
        <v/>
      </c>
      <c r="AD17" t="str">
        <f t="shared" si="3"/>
        <v/>
      </c>
      <c r="AE17" t="str">
        <f t="shared" si="4"/>
        <v/>
      </c>
      <c r="AF17" t="str">
        <f t="shared" si="5"/>
        <v/>
      </c>
      <c r="AG17" t="str">
        <f t="shared" si="6"/>
        <v/>
      </c>
      <c r="AH17" t="str">
        <f t="shared" si="7"/>
        <v/>
      </c>
      <c r="AI17" t="str">
        <f t="shared" si="8"/>
        <v/>
      </c>
      <c r="AJ17" t="str">
        <f t="shared" si="9"/>
        <v/>
      </c>
    </row>
    <row r="18" spans="2:36" x14ac:dyDescent="0.35">
      <c r="B18" t="str" cm="1">
        <f t="array" ref="B18">IFERROR(AVERAGE(_xlfn._xlws.FILTER(Tabla1[[#Data],[Temperatura]],Tabla1[[ID]:[ID]]=$A18,0)),"")</f>
        <v/>
      </c>
      <c r="C18" t="str" cm="1">
        <f t="array" ref="C18">IF(IFERROR(MAX(_xlfn._xlws.FILTER(Tabla1[[#Data],[Temperatura]],Tabla1[[ID]:[ID]]=$A18,0)),"")=0,"",IFERROR(MAX(_xlfn._xlws.FILTER(Tabla1[[#Data],[Temperatura]],Tabla1[[ID]:[ID]]=$A18,0)),""))</f>
        <v/>
      </c>
      <c r="D18" t="str" cm="1">
        <f t="array" ref="D18">IF(IFERROR(MIN(_xlfn._xlws.FILTER(Tabla1[[#Data],[Temperatura]],Tabla1[[ID]:[ID]]=$A18,0)),"")=0,"",IFERROR(MIN(_xlfn._xlws.FILTER(Tabla1[[#Data],[Temperatura]],Tabla1[[ID]:[ID]]=$A18,0)),""))</f>
        <v/>
      </c>
      <c r="E18" t="str" cm="1">
        <f t="array" ref="E18">IFERROR(AVERAGE(_xlfn._xlws.FILTER(Tabla1[[#Data],[Humidade]],Tabla1[[ID]:[ID]]=$A18,0)),"")</f>
        <v/>
      </c>
      <c r="F18" t="str" cm="1">
        <f t="array" ref="F18">IF(IFERROR(MAX(_xlfn._xlws.FILTER(Tabla1[[#Data],[Humidade]],Tabla1[[ID]:[ID]]=$A18,0)),"")=0,"",IFERROR(MAX(_xlfn._xlws.FILTER(Tabla1[[#Data],[Humidade]],Tabla1[[ID]:[ID]]=$A18,0)),""))</f>
        <v/>
      </c>
      <c r="G18" t="str" cm="1">
        <f t="array" ref="G18">IF(IFERROR(MIN(_xlfn._xlws.FILTER(Tabla1[[#Data],[Humidade]],Tabla1[[ID]:[ID]]=$A18,0)),"")=0,"",IFERROR(MIN(_xlfn._xlws.FILTER(Tabla1[[#Data],[Humidade]],Tabla1[[ID]:[ID]]=$A18,0)),""))</f>
        <v/>
      </c>
      <c r="H18" t="str" cm="1">
        <f t="array" ref="H18">IFERROR(AVERAGE(_xlfn._xlws.FILTER(Tabla1[[#Data],[AcX]],Tabla1[[ID]:[ID]]=$A18,0)),"")</f>
        <v/>
      </c>
      <c r="I18" t="str" cm="1">
        <f t="array" ref="I18">IF(IFERROR(MAX(_xlfn._xlws.FILTER(Tabla1[[#Data],[AcX]],Tabla1[[ID]:[ID]]=$A18,0)),"")=0,"",IFERROR(MAX(_xlfn._xlws.FILTER(Tabla1[[#Data],[AcX]],Tabla1[[ID]:[ID]]=$A18,0)),""))</f>
        <v/>
      </c>
      <c r="J18" t="str" cm="1">
        <f t="array" ref="J18">IF(IFERROR(MIN(_xlfn._xlws.FILTER(Tabla1[[#Data],[AcX]],Tabla1[[ID]:[ID]]=$A18,0)),"")=0,"",IFERROR(MIN(_xlfn._xlws.FILTER(Tabla1[[#Data],[AcX]],Tabla1[[ID]:[ID]]=$A18,0)),""))</f>
        <v/>
      </c>
      <c r="K18" t="str" cm="1">
        <f t="array" ref="K18">IFERROR(AVERAGE(_xlfn._xlws.FILTER(Tabla1[[#Data],[AcY]],Tabla1[[ID]:[ID]]=$A18,0)),"")</f>
        <v/>
      </c>
      <c r="L18" t="str" cm="1">
        <f t="array" ref="L18">IF(IFERROR(MAX(_xlfn._xlws.FILTER(Tabla1[[#Data],[AcY]],Tabla1[[ID]:[ID]]=$A18,0)),"")=0,"",IFERROR(MAX(_xlfn._xlws.FILTER(Tabla1[[#Data],[AcY]],Tabla1[[ID]:[ID]]=$A18,0)),""))</f>
        <v/>
      </c>
      <c r="M18" t="str" cm="1">
        <f t="array" ref="M18">IF(IFERROR(MIN(_xlfn._xlws.FILTER(Tabla1[[#Data],[AcY]],Tabla1[[ID]:[ID]]=$A18,0)),"")=0,"",IFERROR(MIN(_xlfn._xlws.FILTER(Tabla1[[#Data],[AcY]],Tabla1[[ID]:[ID]]=$A18,0)),""))</f>
        <v/>
      </c>
      <c r="N18" t="str" cm="1">
        <f t="array" ref="N18">IFERROR(AVERAGE(_xlfn._xlws.FILTER(Tabla1[[#Data],[AcZ]],Tabla1[[ID]:[ID]]=$A18,0)),"")</f>
        <v/>
      </c>
      <c r="O18" t="str" cm="1">
        <f t="array" ref="O18">IF(IFERROR(MAX(_xlfn._xlws.FILTER(Tabla1[[#Data],[AcZ]],Tabla1[[ID]:[ID]]=$A18,0)),"")=0,"",IFERROR(MAX(_xlfn._xlws.FILTER(Tabla1[[#Data],[AcZ]],Tabla1[[ID]:[ID]]=$A18,0)),""))</f>
        <v/>
      </c>
      <c r="P18" t="str" cm="1">
        <f t="array" ref="P18">IF(IFERROR(MIN(_xlfn._xlws.FILTER(Tabla1[[#Data],[AcZ]],Tabla1[[ID]:[ID]]=$A18,0)),"")=0,"",IFERROR(MIN(_xlfn._xlws.FILTER(Tabla1[[#Data],[AcZ]],Tabla1[[ID]:[ID]]=$A18,0)),""))</f>
        <v/>
      </c>
      <c r="Q18" t="str" cm="1">
        <f t="array" ref="Q18">IFERROR(AVERAGE(_xlfn._xlws.FILTER(Tabla1[[#Data],[GyX]],Tabla1[[ID]:[ID]]=$A18,0)),"")</f>
        <v/>
      </c>
      <c r="R18" t="str" cm="1">
        <f t="array" ref="R18">IF(IFERROR(MAX(_xlfn._xlws.FILTER(Tabla1[[#Data],[GyX]],Tabla1[[ID]:[ID]]=$A18,0)),"")=0,"",IFERROR(MAX(_xlfn._xlws.FILTER(Tabla1[[#Data],[GyX]],Tabla1[[ID]:[ID]]=$A18,0)),""))</f>
        <v/>
      </c>
      <c r="S18" t="str" cm="1">
        <f t="array" ref="S18">IF(IFERROR(MIN(_xlfn._xlws.FILTER(Tabla1[[#Data],[GyX]],Tabla1[[ID]:[ID]]=$A18,0)),"")=0,"",IFERROR(MIN(_xlfn._xlws.FILTER(Tabla1[[#Data],[GyX]],Tabla1[[ID]:[ID]]=$A18,0)),""))</f>
        <v/>
      </c>
      <c r="T18" t="str" cm="1">
        <f t="array" ref="T18">IFERROR(AVERAGE(_xlfn._xlws.FILTER(Tabla1[[#Data],[GyY]],Tabla1[[ID]:[ID]]=$A18,0)),"")</f>
        <v/>
      </c>
      <c r="U18" t="str" cm="1">
        <f t="array" ref="U18">IF(IFERROR(MAX(_xlfn._xlws.FILTER(Tabla1[[#Data],[GyY]],Tabla1[[ID]:[ID]]=$A18,0)),"")=0,"",IFERROR(MAX(_xlfn._xlws.FILTER(Tabla1[[#Data],[GyY]],Tabla1[[ID]:[ID]]=$A18,0)),""))</f>
        <v/>
      </c>
      <c r="V18" t="str" cm="1">
        <f t="array" ref="V18">IF(IFERROR(MIN(_xlfn._xlws.FILTER(Tabla1[[#Data],[GyY]],Tabla1[[ID]:[ID]]=$A18,0)),"")=0,"",IFERROR(MIN(_xlfn._xlws.FILTER(Tabla1[[#Data],[GyY]],Tabla1[[ID]:[ID]]=$A18,0)),""))</f>
        <v/>
      </c>
      <c r="W18" t="str" cm="1">
        <f t="array" ref="W18">IFERROR(AVERAGE(_xlfn._xlws.FILTER(Tabla1[[#Data],[GyZ]],Tabla1[[ID]:[ID]]=$A18,0)),"")</f>
        <v/>
      </c>
      <c r="X18" t="str" cm="1">
        <f t="array" ref="X18">IF(IFERROR(MAX(_xlfn._xlws.FILTER(Tabla1[[#Data],[GyZ]],Tabla1[[ID]:[ID]]=$A18,0)),"")=0,"",IFERROR(MAX(_xlfn._xlws.FILTER(Tabla1[[#Data],[GyZ]],Tabla1[[ID]:[ID]]=$A18,0)),""))</f>
        <v/>
      </c>
      <c r="Y18" t="str" cm="1">
        <f t="array" ref="Y18">IF(IFERROR(MIN(_xlfn._xlws.FILTER(Tabla1[[#Data],[GyZ]],Tabla1[[ID]:[ID]]=$A18,0)),"")=0,"",IFERROR(MIN(_xlfn._xlws.FILTER(Tabla1[[#Data],[GyZ]],Tabla1[[ID]:[ID]]=$A18,0)),""))</f>
        <v/>
      </c>
      <c r="Z18" t="str" cm="1">
        <f t="array" ref="Z18">IF(ISNUMBER(A18),IF(ISNUMBER(MATCH(1,_xlfn._xlws.FILTER(Tabla1[[#Data],[Open]],Tabla1[[ID]:[ID]]=$A18,""))),1,0),"")</f>
        <v/>
      </c>
      <c r="AA18" t="str">
        <f t="shared" si="0"/>
        <v/>
      </c>
      <c r="AB18" t="str">
        <f t="shared" si="1"/>
        <v/>
      </c>
      <c r="AC18" t="str">
        <f t="shared" si="2"/>
        <v/>
      </c>
      <c r="AD18" t="str">
        <f t="shared" si="3"/>
        <v/>
      </c>
      <c r="AE18" t="str">
        <f t="shared" si="4"/>
        <v/>
      </c>
      <c r="AF18" t="str">
        <f t="shared" si="5"/>
        <v/>
      </c>
      <c r="AG18" t="str">
        <f t="shared" si="6"/>
        <v/>
      </c>
      <c r="AH18" t="str">
        <f t="shared" si="7"/>
        <v/>
      </c>
      <c r="AI18" t="str">
        <f t="shared" si="8"/>
        <v/>
      </c>
      <c r="AJ18" t="str">
        <f t="shared" si="9"/>
        <v/>
      </c>
    </row>
    <row r="19" spans="2:36" x14ac:dyDescent="0.35">
      <c r="B19" t="str" cm="1">
        <f t="array" ref="B19">IFERROR(AVERAGE(_xlfn._xlws.FILTER(Tabla1[[#Data],[Temperatura]],Tabla1[[ID]:[ID]]=$A19,0)),"")</f>
        <v/>
      </c>
      <c r="C19" t="str" cm="1">
        <f t="array" ref="C19">IF(IFERROR(MAX(_xlfn._xlws.FILTER(Tabla1[[#Data],[Temperatura]],Tabla1[[ID]:[ID]]=$A19,0)),"")=0,"",IFERROR(MAX(_xlfn._xlws.FILTER(Tabla1[[#Data],[Temperatura]],Tabla1[[ID]:[ID]]=$A19,0)),""))</f>
        <v/>
      </c>
      <c r="D19" t="str" cm="1">
        <f t="array" ref="D19">IF(IFERROR(MIN(_xlfn._xlws.FILTER(Tabla1[[#Data],[Temperatura]],Tabla1[[ID]:[ID]]=$A19,0)),"")=0,"",IFERROR(MIN(_xlfn._xlws.FILTER(Tabla1[[#Data],[Temperatura]],Tabla1[[ID]:[ID]]=$A19,0)),""))</f>
        <v/>
      </c>
      <c r="E19" t="str" cm="1">
        <f t="array" ref="E19">IFERROR(AVERAGE(_xlfn._xlws.FILTER(Tabla1[[#Data],[Humidade]],Tabla1[[ID]:[ID]]=$A19,0)),"")</f>
        <v/>
      </c>
      <c r="F19" t="str" cm="1">
        <f t="array" ref="F19">IF(IFERROR(MAX(_xlfn._xlws.FILTER(Tabla1[[#Data],[Humidade]],Tabla1[[ID]:[ID]]=$A19,0)),"")=0,"",IFERROR(MAX(_xlfn._xlws.FILTER(Tabla1[[#Data],[Humidade]],Tabla1[[ID]:[ID]]=$A19,0)),""))</f>
        <v/>
      </c>
      <c r="G19" t="str" cm="1">
        <f t="array" ref="G19">IF(IFERROR(MIN(_xlfn._xlws.FILTER(Tabla1[[#Data],[Humidade]],Tabla1[[ID]:[ID]]=$A19,0)),"")=0,"",IFERROR(MIN(_xlfn._xlws.FILTER(Tabla1[[#Data],[Humidade]],Tabla1[[ID]:[ID]]=$A19,0)),""))</f>
        <v/>
      </c>
      <c r="H19" t="str" cm="1">
        <f t="array" ref="H19">IFERROR(AVERAGE(_xlfn._xlws.FILTER(Tabla1[[#Data],[AcX]],Tabla1[[ID]:[ID]]=$A19,0)),"")</f>
        <v/>
      </c>
      <c r="I19" t="str" cm="1">
        <f t="array" ref="I19">IF(IFERROR(MAX(_xlfn._xlws.FILTER(Tabla1[[#Data],[AcX]],Tabla1[[ID]:[ID]]=$A19,0)),"")=0,"",IFERROR(MAX(_xlfn._xlws.FILTER(Tabla1[[#Data],[AcX]],Tabla1[[ID]:[ID]]=$A19,0)),""))</f>
        <v/>
      </c>
      <c r="J19" t="str" cm="1">
        <f t="array" ref="J19">IF(IFERROR(MIN(_xlfn._xlws.FILTER(Tabla1[[#Data],[AcX]],Tabla1[[ID]:[ID]]=$A19,0)),"")=0,"",IFERROR(MIN(_xlfn._xlws.FILTER(Tabla1[[#Data],[AcX]],Tabla1[[ID]:[ID]]=$A19,0)),""))</f>
        <v/>
      </c>
      <c r="K19" t="str" cm="1">
        <f t="array" ref="K19">IFERROR(AVERAGE(_xlfn._xlws.FILTER(Tabla1[[#Data],[AcY]],Tabla1[[ID]:[ID]]=$A19,0)),"")</f>
        <v/>
      </c>
      <c r="L19" t="str" cm="1">
        <f t="array" ref="L19">IF(IFERROR(MAX(_xlfn._xlws.FILTER(Tabla1[[#Data],[AcY]],Tabla1[[ID]:[ID]]=$A19,0)),"")=0,"",IFERROR(MAX(_xlfn._xlws.FILTER(Tabla1[[#Data],[AcY]],Tabla1[[ID]:[ID]]=$A19,0)),""))</f>
        <v/>
      </c>
      <c r="M19" t="str" cm="1">
        <f t="array" ref="M19">IF(IFERROR(MIN(_xlfn._xlws.FILTER(Tabla1[[#Data],[AcY]],Tabla1[[ID]:[ID]]=$A19,0)),"")=0,"",IFERROR(MIN(_xlfn._xlws.FILTER(Tabla1[[#Data],[AcY]],Tabla1[[ID]:[ID]]=$A19,0)),""))</f>
        <v/>
      </c>
      <c r="N19" t="str" cm="1">
        <f t="array" ref="N19">IFERROR(AVERAGE(_xlfn._xlws.FILTER(Tabla1[[#Data],[AcZ]],Tabla1[[ID]:[ID]]=$A19,0)),"")</f>
        <v/>
      </c>
      <c r="O19" t="str" cm="1">
        <f t="array" ref="O19">IF(IFERROR(MAX(_xlfn._xlws.FILTER(Tabla1[[#Data],[AcZ]],Tabla1[[ID]:[ID]]=$A19,0)),"")=0,"",IFERROR(MAX(_xlfn._xlws.FILTER(Tabla1[[#Data],[AcZ]],Tabla1[[ID]:[ID]]=$A19,0)),""))</f>
        <v/>
      </c>
      <c r="P19" t="str" cm="1">
        <f t="array" ref="P19">IF(IFERROR(MIN(_xlfn._xlws.FILTER(Tabla1[[#Data],[AcZ]],Tabla1[[ID]:[ID]]=$A19,0)),"")=0,"",IFERROR(MIN(_xlfn._xlws.FILTER(Tabla1[[#Data],[AcZ]],Tabla1[[ID]:[ID]]=$A19,0)),""))</f>
        <v/>
      </c>
      <c r="Q19" t="str" cm="1">
        <f t="array" ref="Q19">IFERROR(AVERAGE(_xlfn._xlws.FILTER(Tabla1[[#Data],[GyX]],Tabla1[[ID]:[ID]]=$A19,0)),"")</f>
        <v/>
      </c>
      <c r="R19" t="str" cm="1">
        <f t="array" ref="R19">IF(IFERROR(MAX(_xlfn._xlws.FILTER(Tabla1[[#Data],[GyX]],Tabla1[[ID]:[ID]]=$A19,0)),"")=0,"",IFERROR(MAX(_xlfn._xlws.FILTER(Tabla1[[#Data],[GyX]],Tabla1[[ID]:[ID]]=$A19,0)),""))</f>
        <v/>
      </c>
      <c r="S19" t="str" cm="1">
        <f t="array" ref="S19">IF(IFERROR(MIN(_xlfn._xlws.FILTER(Tabla1[[#Data],[GyX]],Tabla1[[ID]:[ID]]=$A19,0)),"")=0,"",IFERROR(MIN(_xlfn._xlws.FILTER(Tabla1[[#Data],[GyX]],Tabla1[[ID]:[ID]]=$A19,0)),""))</f>
        <v/>
      </c>
      <c r="T19" t="str" cm="1">
        <f t="array" ref="T19">IFERROR(AVERAGE(_xlfn._xlws.FILTER(Tabla1[[#Data],[GyY]],Tabla1[[ID]:[ID]]=$A19,0)),"")</f>
        <v/>
      </c>
      <c r="U19" t="str" cm="1">
        <f t="array" ref="U19">IF(IFERROR(MAX(_xlfn._xlws.FILTER(Tabla1[[#Data],[GyY]],Tabla1[[ID]:[ID]]=$A19,0)),"")=0,"",IFERROR(MAX(_xlfn._xlws.FILTER(Tabla1[[#Data],[GyY]],Tabla1[[ID]:[ID]]=$A19,0)),""))</f>
        <v/>
      </c>
      <c r="V19" t="str" cm="1">
        <f t="array" ref="V19">IF(IFERROR(MIN(_xlfn._xlws.FILTER(Tabla1[[#Data],[GyY]],Tabla1[[ID]:[ID]]=$A19,0)),"")=0,"",IFERROR(MIN(_xlfn._xlws.FILTER(Tabla1[[#Data],[GyY]],Tabla1[[ID]:[ID]]=$A19,0)),""))</f>
        <v/>
      </c>
      <c r="W19" t="str" cm="1">
        <f t="array" ref="W19">IFERROR(AVERAGE(_xlfn._xlws.FILTER(Tabla1[[#Data],[GyZ]],Tabla1[[ID]:[ID]]=$A19,0)),"")</f>
        <v/>
      </c>
      <c r="X19" t="str" cm="1">
        <f t="array" ref="X19">IF(IFERROR(MAX(_xlfn._xlws.FILTER(Tabla1[[#Data],[GyZ]],Tabla1[[ID]:[ID]]=$A19,0)),"")=0,"",IFERROR(MAX(_xlfn._xlws.FILTER(Tabla1[[#Data],[GyZ]],Tabla1[[ID]:[ID]]=$A19,0)),""))</f>
        <v/>
      </c>
      <c r="Y19" t="str" cm="1">
        <f t="array" ref="Y19">IF(IFERROR(MIN(_xlfn._xlws.FILTER(Tabla1[[#Data],[GyZ]],Tabla1[[ID]:[ID]]=$A19,0)),"")=0,"",IFERROR(MIN(_xlfn._xlws.FILTER(Tabla1[[#Data],[GyZ]],Tabla1[[ID]:[ID]]=$A19,0)),""))</f>
        <v/>
      </c>
      <c r="Z19" t="str" cm="1">
        <f t="array" ref="Z19">IF(ISNUMBER(A19),IF(ISNUMBER(MATCH(1,_xlfn._xlws.FILTER(Tabla1[[#Data],[Open]],Tabla1[[ID]:[ID]]=$A19,""))),1,0),"")</f>
        <v/>
      </c>
      <c r="AA19" t="str">
        <f t="shared" si="0"/>
        <v/>
      </c>
      <c r="AB19" t="str">
        <f t="shared" si="1"/>
        <v/>
      </c>
      <c r="AC19" t="str">
        <f t="shared" si="2"/>
        <v/>
      </c>
      <c r="AD19" t="str">
        <f t="shared" si="3"/>
        <v/>
      </c>
      <c r="AE19" t="str">
        <f t="shared" si="4"/>
        <v/>
      </c>
      <c r="AF19" t="str">
        <f t="shared" si="5"/>
        <v/>
      </c>
      <c r="AG19" t="str">
        <f t="shared" si="6"/>
        <v/>
      </c>
      <c r="AH19" t="str">
        <f t="shared" si="7"/>
        <v/>
      </c>
      <c r="AI19" t="str">
        <f t="shared" si="8"/>
        <v/>
      </c>
      <c r="AJ19" t="str">
        <f t="shared" si="9"/>
        <v/>
      </c>
    </row>
    <row r="20" spans="2:36" x14ac:dyDescent="0.35">
      <c r="B20" t="str" cm="1">
        <f t="array" ref="B20">IFERROR(AVERAGE(_xlfn._xlws.FILTER(Tabla1[[#Data],[Temperatura]],Tabla1[[ID]:[ID]]=$A20,0)),"")</f>
        <v/>
      </c>
      <c r="C20" t="str" cm="1">
        <f t="array" ref="C20">IF(IFERROR(MAX(_xlfn._xlws.FILTER(Tabla1[[#Data],[Temperatura]],Tabla1[[ID]:[ID]]=$A20,0)),"")=0,"",IFERROR(MAX(_xlfn._xlws.FILTER(Tabla1[[#Data],[Temperatura]],Tabla1[[ID]:[ID]]=$A20,0)),""))</f>
        <v/>
      </c>
      <c r="D20" t="str" cm="1">
        <f t="array" ref="D20">IF(IFERROR(MIN(_xlfn._xlws.FILTER(Tabla1[[#Data],[Temperatura]],Tabla1[[ID]:[ID]]=$A20,0)),"")=0,"",IFERROR(MIN(_xlfn._xlws.FILTER(Tabla1[[#Data],[Temperatura]],Tabla1[[ID]:[ID]]=$A20,0)),""))</f>
        <v/>
      </c>
      <c r="E20" t="str" cm="1">
        <f t="array" ref="E20">IFERROR(AVERAGE(_xlfn._xlws.FILTER(Tabla1[[#Data],[Humidade]],Tabla1[[ID]:[ID]]=$A20,0)),"")</f>
        <v/>
      </c>
      <c r="F20" t="str" cm="1">
        <f t="array" ref="F20">IF(IFERROR(MAX(_xlfn._xlws.FILTER(Tabla1[[#Data],[Humidade]],Tabla1[[ID]:[ID]]=$A20,0)),"")=0,"",IFERROR(MAX(_xlfn._xlws.FILTER(Tabla1[[#Data],[Humidade]],Tabla1[[ID]:[ID]]=$A20,0)),""))</f>
        <v/>
      </c>
      <c r="G20" t="str" cm="1">
        <f t="array" ref="G20">IF(IFERROR(MIN(_xlfn._xlws.FILTER(Tabla1[[#Data],[Humidade]],Tabla1[[ID]:[ID]]=$A20,0)),"")=0,"",IFERROR(MIN(_xlfn._xlws.FILTER(Tabla1[[#Data],[Humidade]],Tabla1[[ID]:[ID]]=$A20,0)),""))</f>
        <v/>
      </c>
      <c r="H20" t="str" cm="1">
        <f t="array" ref="H20">IFERROR(AVERAGE(_xlfn._xlws.FILTER(Tabla1[[#Data],[AcX]],Tabla1[[ID]:[ID]]=$A20,0)),"")</f>
        <v/>
      </c>
      <c r="I20" t="str" cm="1">
        <f t="array" ref="I20">IF(IFERROR(MAX(_xlfn._xlws.FILTER(Tabla1[[#Data],[AcX]],Tabla1[[ID]:[ID]]=$A20,0)),"")=0,"",IFERROR(MAX(_xlfn._xlws.FILTER(Tabla1[[#Data],[AcX]],Tabla1[[ID]:[ID]]=$A20,0)),""))</f>
        <v/>
      </c>
      <c r="J20" t="str" cm="1">
        <f t="array" ref="J20">IF(IFERROR(MIN(_xlfn._xlws.FILTER(Tabla1[[#Data],[AcX]],Tabla1[[ID]:[ID]]=$A20,0)),"")=0,"",IFERROR(MIN(_xlfn._xlws.FILTER(Tabla1[[#Data],[AcX]],Tabla1[[ID]:[ID]]=$A20,0)),""))</f>
        <v/>
      </c>
      <c r="K20" t="str" cm="1">
        <f t="array" ref="K20">IFERROR(AVERAGE(_xlfn._xlws.FILTER(Tabla1[[#Data],[AcY]],Tabla1[[ID]:[ID]]=$A20,0)),"")</f>
        <v/>
      </c>
      <c r="L20" t="str" cm="1">
        <f t="array" ref="L20">IF(IFERROR(MAX(_xlfn._xlws.FILTER(Tabla1[[#Data],[AcY]],Tabla1[[ID]:[ID]]=$A20,0)),"")=0,"",IFERROR(MAX(_xlfn._xlws.FILTER(Tabla1[[#Data],[AcY]],Tabla1[[ID]:[ID]]=$A20,0)),""))</f>
        <v/>
      </c>
      <c r="M20" t="str" cm="1">
        <f t="array" ref="M20">IF(IFERROR(MIN(_xlfn._xlws.FILTER(Tabla1[[#Data],[AcY]],Tabla1[[ID]:[ID]]=$A20,0)),"")=0,"",IFERROR(MIN(_xlfn._xlws.FILTER(Tabla1[[#Data],[AcY]],Tabla1[[ID]:[ID]]=$A20,0)),""))</f>
        <v/>
      </c>
      <c r="N20" t="str" cm="1">
        <f t="array" ref="N20">IFERROR(AVERAGE(_xlfn._xlws.FILTER(Tabla1[[#Data],[AcZ]],Tabla1[[ID]:[ID]]=$A20,0)),"")</f>
        <v/>
      </c>
      <c r="O20" t="str" cm="1">
        <f t="array" ref="O20">IF(IFERROR(MAX(_xlfn._xlws.FILTER(Tabla1[[#Data],[AcZ]],Tabla1[[ID]:[ID]]=$A20,0)),"")=0,"",IFERROR(MAX(_xlfn._xlws.FILTER(Tabla1[[#Data],[AcZ]],Tabla1[[ID]:[ID]]=$A20,0)),""))</f>
        <v/>
      </c>
      <c r="P20" t="str" cm="1">
        <f t="array" ref="P20">IF(IFERROR(MIN(_xlfn._xlws.FILTER(Tabla1[[#Data],[AcZ]],Tabla1[[ID]:[ID]]=$A20,0)),"")=0,"",IFERROR(MIN(_xlfn._xlws.FILTER(Tabla1[[#Data],[AcZ]],Tabla1[[ID]:[ID]]=$A20,0)),""))</f>
        <v/>
      </c>
      <c r="Q20" t="str" cm="1">
        <f t="array" ref="Q20">IFERROR(AVERAGE(_xlfn._xlws.FILTER(Tabla1[[#Data],[GyX]],Tabla1[[ID]:[ID]]=$A20,0)),"")</f>
        <v/>
      </c>
      <c r="R20" t="str" cm="1">
        <f t="array" ref="R20">IF(IFERROR(MAX(_xlfn._xlws.FILTER(Tabla1[[#Data],[GyX]],Tabla1[[ID]:[ID]]=$A20,0)),"")=0,"",IFERROR(MAX(_xlfn._xlws.FILTER(Tabla1[[#Data],[GyX]],Tabla1[[ID]:[ID]]=$A20,0)),""))</f>
        <v/>
      </c>
      <c r="S20" t="str" cm="1">
        <f t="array" ref="S20">IF(IFERROR(MIN(_xlfn._xlws.FILTER(Tabla1[[#Data],[GyX]],Tabla1[[ID]:[ID]]=$A20,0)),"")=0,"",IFERROR(MIN(_xlfn._xlws.FILTER(Tabla1[[#Data],[GyX]],Tabla1[[ID]:[ID]]=$A20,0)),""))</f>
        <v/>
      </c>
      <c r="T20" t="str" cm="1">
        <f t="array" ref="T20">IFERROR(AVERAGE(_xlfn._xlws.FILTER(Tabla1[[#Data],[GyY]],Tabla1[[ID]:[ID]]=$A20,0)),"")</f>
        <v/>
      </c>
      <c r="U20" t="str" cm="1">
        <f t="array" ref="U20">IF(IFERROR(MAX(_xlfn._xlws.FILTER(Tabla1[[#Data],[GyY]],Tabla1[[ID]:[ID]]=$A20,0)),"")=0,"",IFERROR(MAX(_xlfn._xlws.FILTER(Tabla1[[#Data],[GyY]],Tabla1[[ID]:[ID]]=$A20,0)),""))</f>
        <v/>
      </c>
      <c r="V20" t="str" cm="1">
        <f t="array" ref="V20">IF(IFERROR(MIN(_xlfn._xlws.FILTER(Tabla1[[#Data],[GyY]],Tabla1[[ID]:[ID]]=$A20,0)),"")=0,"",IFERROR(MIN(_xlfn._xlws.FILTER(Tabla1[[#Data],[GyY]],Tabla1[[ID]:[ID]]=$A20,0)),""))</f>
        <v/>
      </c>
      <c r="W20" t="str" cm="1">
        <f t="array" ref="W20">IFERROR(AVERAGE(_xlfn._xlws.FILTER(Tabla1[[#Data],[GyZ]],Tabla1[[ID]:[ID]]=$A20,0)),"")</f>
        <v/>
      </c>
      <c r="X20" t="str" cm="1">
        <f t="array" ref="X20">IF(IFERROR(MAX(_xlfn._xlws.FILTER(Tabla1[[#Data],[GyZ]],Tabla1[[ID]:[ID]]=$A20,0)),"")=0,"",IFERROR(MAX(_xlfn._xlws.FILTER(Tabla1[[#Data],[GyZ]],Tabla1[[ID]:[ID]]=$A20,0)),""))</f>
        <v/>
      </c>
      <c r="Y20" t="str" cm="1">
        <f t="array" ref="Y20">IF(IFERROR(MIN(_xlfn._xlws.FILTER(Tabla1[[#Data],[GyZ]],Tabla1[[ID]:[ID]]=$A20,0)),"")=0,"",IFERROR(MIN(_xlfn._xlws.FILTER(Tabla1[[#Data],[GyZ]],Tabla1[[ID]:[ID]]=$A20,0)),""))</f>
        <v/>
      </c>
      <c r="Z20" t="str" cm="1">
        <f t="array" ref="Z20">IF(ISNUMBER(A20),IF(ISNUMBER(MATCH(1,_xlfn._xlws.FILTER(Tabla1[[#Data],[Open]],Tabla1[[ID]:[ID]]=$A20,""))),1,0),"")</f>
        <v/>
      </c>
      <c r="AA20" t="str">
        <f t="shared" si="0"/>
        <v/>
      </c>
      <c r="AB20" t="str">
        <f t="shared" si="1"/>
        <v/>
      </c>
      <c r="AC20" t="str">
        <f t="shared" si="2"/>
        <v/>
      </c>
      <c r="AD20" t="str">
        <f t="shared" si="3"/>
        <v/>
      </c>
      <c r="AE20" t="str">
        <f t="shared" si="4"/>
        <v/>
      </c>
      <c r="AF20" t="str">
        <f t="shared" si="5"/>
        <v/>
      </c>
      <c r="AG20" t="str">
        <f t="shared" si="6"/>
        <v/>
      </c>
      <c r="AH20" t="str">
        <f t="shared" si="7"/>
        <v/>
      </c>
      <c r="AI20" t="str">
        <f t="shared" si="8"/>
        <v/>
      </c>
      <c r="AJ20" t="str">
        <f t="shared" si="9"/>
        <v/>
      </c>
    </row>
    <row r="21" spans="2:36" x14ac:dyDescent="0.35">
      <c r="B21" t="str" cm="1">
        <f t="array" ref="B21">IFERROR(AVERAGE(_xlfn._xlws.FILTER(Tabla1[[#Data],[Temperatura]],Tabla1[[ID]:[ID]]=$A21,0)),"")</f>
        <v/>
      </c>
      <c r="C21" t="str" cm="1">
        <f t="array" ref="C21">IF(IFERROR(MAX(_xlfn._xlws.FILTER(Tabla1[[#Data],[Temperatura]],Tabla1[[ID]:[ID]]=$A21,0)),"")=0,"",IFERROR(MAX(_xlfn._xlws.FILTER(Tabla1[[#Data],[Temperatura]],Tabla1[[ID]:[ID]]=$A21,0)),""))</f>
        <v/>
      </c>
      <c r="D21" t="str" cm="1">
        <f t="array" ref="D21">IF(IFERROR(MIN(_xlfn._xlws.FILTER(Tabla1[[#Data],[Temperatura]],Tabla1[[ID]:[ID]]=$A21,0)),"")=0,"",IFERROR(MIN(_xlfn._xlws.FILTER(Tabla1[[#Data],[Temperatura]],Tabla1[[ID]:[ID]]=$A21,0)),""))</f>
        <v/>
      </c>
      <c r="E21" t="str" cm="1">
        <f t="array" ref="E21">IFERROR(AVERAGE(_xlfn._xlws.FILTER(Tabla1[[#Data],[Humidade]],Tabla1[[ID]:[ID]]=$A21,0)),"")</f>
        <v/>
      </c>
      <c r="F21" t="str" cm="1">
        <f t="array" ref="F21">IF(IFERROR(MAX(_xlfn._xlws.FILTER(Tabla1[[#Data],[Humidade]],Tabla1[[ID]:[ID]]=$A21,0)),"")=0,"",IFERROR(MAX(_xlfn._xlws.FILTER(Tabla1[[#Data],[Humidade]],Tabla1[[ID]:[ID]]=$A21,0)),""))</f>
        <v/>
      </c>
      <c r="G21" t="str" cm="1">
        <f t="array" ref="G21">IF(IFERROR(MIN(_xlfn._xlws.FILTER(Tabla1[[#Data],[Humidade]],Tabla1[[ID]:[ID]]=$A21,0)),"")=0,"",IFERROR(MIN(_xlfn._xlws.FILTER(Tabla1[[#Data],[Humidade]],Tabla1[[ID]:[ID]]=$A21,0)),""))</f>
        <v/>
      </c>
      <c r="H21" t="str" cm="1">
        <f t="array" ref="H21">IFERROR(AVERAGE(_xlfn._xlws.FILTER(Tabla1[[#Data],[AcX]],Tabla1[[ID]:[ID]]=$A21,0)),"")</f>
        <v/>
      </c>
      <c r="I21" t="str" cm="1">
        <f t="array" ref="I21">IF(IFERROR(MAX(_xlfn._xlws.FILTER(Tabla1[[#Data],[AcX]],Tabla1[[ID]:[ID]]=$A21,0)),"")=0,"",IFERROR(MAX(_xlfn._xlws.FILTER(Tabla1[[#Data],[AcX]],Tabla1[[ID]:[ID]]=$A21,0)),""))</f>
        <v/>
      </c>
      <c r="J21" t="str" cm="1">
        <f t="array" ref="J21">IF(IFERROR(MIN(_xlfn._xlws.FILTER(Tabla1[[#Data],[AcX]],Tabla1[[ID]:[ID]]=$A21,0)),"")=0,"",IFERROR(MIN(_xlfn._xlws.FILTER(Tabla1[[#Data],[AcX]],Tabla1[[ID]:[ID]]=$A21,0)),""))</f>
        <v/>
      </c>
      <c r="K21" t="str" cm="1">
        <f t="array" ref="K21">IFERROR(AVERAGE(_xlfn._xlws.FILTER(Tabla1[[#Data],[AcY]],Tabla1[[ID]:[ID]]=$A21,0)),"")</f>
        <v/>
      </c>
      <c r="L21" t="str" cm="1">
        <f t="array" ref="L21">IF(IFERROR(MAX(_xlfn._xlws.FILTER(Tabla1[[#Data],[AcY]],Tabla1[[ID]:[ID]]=$A21,0)),"")=0,"",IFERROR(MAX(_xlfn._xlws.FILTER(Tabla1[[#Data],[AcY]],Tabla1[[ID]:[ID]]=$A21,0)),""))</f>
        <v/>
      </c>
      <c r="M21" t="str" cm="1">
        <f t="array" ref="M21">IF(IFERROR(MIN(_xlfn._xlws.FILTER(Tabla1[[#Data],[AcY]],Tabla1[[ID]:[ID]]=$A21,0)),"")=0,"",IFERROR(MIN(_xlfn._xlws.FILTER(Tabla1[[#Data],[AcY]],Tabla1[[ID]:[ID]]=$A21,0)),""))</f>
        <v/>
      </c>
      <c r="N21" t="str" cm="1">
        <f t="array" ref="N21">IFERROR(AVERAGE(_xlfn._xlws.FILTER(Tabla1[[#Data],[AcZ]],Tabla1[[ID]:[ID]]=$A21,0)),"")</f>
        <v/>
      </c>
      <c r="O21" t="str" cm="1">
        <f t="array" ref="O21">IF(IFERROR(MAX(_xlfn._xlws.FILTER(Tabla1[[#Data],[AcZ]],Tabla1[[ID]:[ID]]=$A21,0)),"")=0,"",IFERROR(MAX(_xlfn._xlws.FILTER(Tabla1[[#Data],[AcZ]],Tabla1[[ID]:[ID]]=$A21,0)),""))</f>
        <v/>
      </c>
      <c r="P21" t="str" cm="1">
        <f t="array" ref="P21">IF(IFERROR(MIN(_xlfn._xlws.FILTER(Tabla1[[#Data],[AcZ]],Tabla1[[ID]:[ID]]=$A21,0)),"")=0,"",IFERROR(MIN(_xlfn._xlws.FILTER(Tabla1[[#Data],[AcZ]],Tabla1[[ID]:[ID]]=$A21,0)),""))</f>
        <v/>
      </c>
      <c r="Q21" t="str" cm="1">
        <f t="array" ref="Q21">IFERROR(AVERAGE(_xlfn._xlws.FILTER(Tabla1[[#Data],[GyX]],Tabla1[[ID]:[ID]]=$A21,0)),"")</f>
        <v/>
      </c>
      <c r="R21" t="str" cm="1">
        <f t="array" ref="R21">IF(IFERROR(MAX(_xlfn._xlws.FILTER(Tabla1[[#Data],[GyX]],Tabla1[[ID]:[ID]]=$A21,0)),"")=0,"",IFERROR(MAX(_xlfn._xlws.FILTER(Tabla1[[#Data],[GyX]],Tabla1[[ID]:[ID]]=$A21,0)),""))</f>
        <v/>
      </c>
      <c r="S21" t="str" cm="1">
        <f t="array" ref="S21">IF(IFERROR(MIN(_xlfn._xlws.FILTER(Tabla1[[#Data],[GyX]],Tabla1[[ID]:[ID]]=$A21,0)),"")=0,"",IFERROR(MIN(_xlfn._xlws.FILTER(Tabla1[[#Data],[GyX]],Tabla1[[ID]:[ID]]=$A21,0)),""))</f>
        <v/>
      </c>
      <c r="T21" t="str" cm="1">
        <f t="array" ref="T21">IFERROR(AVERAGE(_xlfn._xlws.FILTER(Tabla1[[#Data],[GyY]],Tabla1[[ID]:[ID]]=$A21,0)),"")</f>
        <v/>
      </c>
      <c r="U21" t="str" cm="1">
        <f t="array" ref="U21">IF(IFERROR(MAX(_xlfn._xlws.FILTER(Tabla1[[#Data],[GyY]],Tabla1[[ID]:[ID]]=$A21,0)),"")=0,"",IFERROR(MAX(_xlfn._xlws.FILTER(Tabla1[[#Data],[GyY]],Tabla1[[ID]:[ID]]=$A21,0)),""))</f>
        <v/>
      </c>
      <c r="V21" t="str" cm="1">
        <f t="array" ref="V21">IF(IFERROR(MIN(_xlfn._xlws.FILTER(Tabla1[[#Data],[GyY]],Tabla1[[ID]:[ID]]=$A21,0)),"")=0,"",IFERROR(MIN(_xlfn._xlws.FILTER(Tabla1[[#Data],[GyY]],Tabla1[[ID]:[ID]]=$A21,0)),""))</f>
        <v/>
      </c>
      <c r="W21" t="str" cm="1">
        <f t="array" ref="W21">IFERROR(AVERAGE(_xlfn._xlws.FILTER(Tabla1[[#Data],[GyZ]],Tabla1[[ID]:[ID]]=$A21,0)),"")</f>
        <v/>
      </c>
      <c r="X21" t="str" cm="1">
        <f t="array" ref="X21">IF(IFERROR(MAX(_xlfn._xlws.FILTER(Tabla1[[#Data],[GyZ]],Tabla1[[ID]:[ID]]=$A21,0)),"")=0,"",IFERROR(MAX(_xlfn._xlws.FILTER(Tabla1[[#Data],[GyZ]],Tabla1[[ID]:[ID]]=$A21,0)),""))</f>
        <v/>
      </c>
      <c r="Y21" t="str" cm="1">
        <f t="array" ref="Y21">IF(IFERROR(MIN(_xlfn._xlws.FILTER(Tabla1[[#Data],[GyZ]],Tabla1[[ID]:[ID]]=$A21,0)),"")=0,"",IFERROR(MIN(_xlfn._xlws.FILTER(Tabla1[[#Data],[GyZ]],Tabla1[[ID]:[ID]]=$A21,0)),""))</f>
        <v/>
      </c>
      <c r="Z21" t="str" cm="1">
        <f t="array" ref="Z21">IF(ISNUMBER(A21),IF(ISNUMBER(MATCH(1,_xlfn._xlws.FILTER(Tabla1[[#Data],[Open]],Tabla1[[ID]:[ID]]=$A21,""))),1,0),"")</f>
        <v/>
      </c>
      <c r="AA21" t="str">
        <f t="shared" si="0"/>
        <v/>
      </c>
      <c r="AB21" t="str">
        <f t="shared" si="1"/>
        <v/>
      </c>
      <c r="AC21" t="str">
        <f t="shared" si="2"/>
        <v/>
      </c>
      <c r="AD21" t="str">
        <f t="shared" si="3"/>
        <v/>
      </c>
      <c r="AE21" t="str">
        <f t="shared" si="4"/>
        <v/>
      </c>
      <c r="AF21" t="str">
        <f t="shared" si="5"/>
        <v/>
      </c>
      <c r="AG21" t="str">
        <f t="shared" si="6"/>
        <v/>
      </c>
      <c r="AH21" t="str">
        <f t="shared" si="7"/>
        <v/>
      </c>
      <c r="AI21" t="str">
        <f t="shared" si="8"/>
        <v/>
      </c>
      <c r="AJ21" t="str">
        <f t="shared" si="9"/>
        <v/>
      </c>
    </row>
    <row r="22" spans="2:36" x14ac:dyDescent="0.35">
      <c r="B22" t="str" cm="1">
        <f t="array" ref="B22">IFERROR(AVERAGE(_xlfn._xlws.FILTER(Tabla1[[#Data],[Temperatura]],Tabla1[[ID]:[ID]]=$A22,0)),"")</f>
        <v/>
      </c>
      <c r="C22" t="str" cm="1">
        <f t="array" ref="C22">IF(IFERROR(MAX(_xlfn._xlws.FILTER(Tabla1[[#Data],[Temperatura]],Tabla1[[ID]:[ID]]=$A22,0)),"")=0,"",IFERROR(MAX(_xlfn._xlws.FILTER(Tabla1[[#Data],[Temperatura]],Tabla1[[ID]:[ID]]=$A22,0)),""))</f>
        <v/>
      </c>
      <c r="D22" t="str" cm="1">
        <f t="array" ref="D22">IF(IFERROR(MIN(_xlfn._xlws.FILTER(Tabla1[[#Data],[Temperatura]],Tabla1[[ID]:[ID]]=$A22,0)),"")=0,"",IFERROR(MIN(_xlfn._xlws.FILTER(Tabla1[[#Data],[Temperatura]],Tabla1[[ID]:[ID]]=$A22,0)),""))</f>
        <v/>
      </c>
      <c r="E22" t="str" cm="1">
        <f t="array" ref="E22">IFERROR(AVERAGE(_xlfn._xlws.FILTER(Tabla1[[#Data],[Humidade]],Tabla1[[ID]:[ID]]=$A22,0)),"")</f>
        <v/>
      </c>
      <c r="F22" t="str" cm="1">
        <f t="array" ref="F22">IF(IFERROR(MAX(_xlfn._xlws.FILTER(Tabla1[[#Data],[Humidade]],Tabla1[[ID]:[ID]]=$A22,0)),"")=0,"",IFERROR(MAX(_xlfn._xlws.FILTER(Tabla1[[#Data],[Humidade]],Tabla1[[ID]:[ID]]=$A22,0)),""))</f>
        <v/>
      </c>
      <c r="G22" t="str" cm="1">
        <f t="array" ref="G22">IF(IFERROR(MIN(_xlfn._xlws.FILTER(Tabla1[[#Data],[Humidade]],Tabla1[[ID]:[ID]]=$A22,0)),"")=0,"",IFERROR(MIN(_xlfn._xlws.FILTER(Tabla1[[#Data],[Humidade]],Tabla1[[ID]:[ID]]=$A22,0)),""))</f>
        <v/>
      </c>
      <c r="H22" t="str" cm="1">
        <f t="array" ref="H22">IFERROR(AVERAGE(_xlfn._xlws.FILTER(Tabla1[[#Data],[AcX]],Tabla1[[ID]:[ID]]=$A22,0)),"")</f>
        <v/>
      </c>
      <c r="I22" t="str" cm="1">
        <f t="array" ref="I22">IF(IFERROR(MAX(_xlfn._xlws.FILTER(Tabla1[[#Data],[AcX]],Tabla1[[ID]:[ID]]=$A22,0)),"")=0,"",IFERROR(MAX(_xlfn._xlws.FILTER(Tabla1[[#Data],[AcX]],Tabla1[[ID]:[ID]]=$A22,0)),""))</f>
        <v/>
      </c>
      <c r="J22" t="str" cm="1">
        <f t="array" ref="J22">IF(IFERROR(MIN(_xlfn._xlws.FILTER(Tabla1[[#Data],[AcX]],Tabla1[[ID]:[ID]]=$A22,0)),"")=0,"",IFERROR(MIN(_xlfn._xlws.FILTER(Tabla1[[#Data],[AcX]],Tabla1[[ID]:[ID]]=$A22,0)),""))</f>
        <v/>
      </c>
      <c r="K22" t="str" cm="1">
        <f t="array" ref="K22">IFERROR(AVERAGE(_xlfn._xlws.FILTER(Tabla1[[#Data],[AcY]],Tabla1[[ID]:[ID]]=$A22,0)),"")</f>
        <v/>
      </c>
      <c r="L22" t="str" cm="1">
        <f t="array" ref="L22">IF(IFERROR(MAX(_xlfn._xlws.FILTER(Tabla1[[#Data],[AcY]],Tabla1[[ID]:[ID]]=$A22,0)),"")=0,"",IFERROR(MAX(_xlfn._xlws.FILTER(Tabla1[[#Data],[AcY]],Tabla1[[ID]:[ID]]=$A22,0)),""))</f>
        <v/>
      </c>
      <c r="M22" t="str" cm="1">
        <f t="array" ref="M22">IF(IFERROR(MIN(_xlfn._xlws.FILTER(Tabla1[[#Data],[AcY]],Tabla1[[ID]:[ID]]=$A22,0)),"")=0,"",IFERROR(MIN(_xlfn._xlws.FILTER(Tabla1[[#Data],[AcY]],Tabla1[[ID]:[ID]]=$A22,0)),""))</f>
        <v/>
      </c>
      <c r="N22" t="str" cm="1">
        <f t="array" ref="N22">IFERROR(AVERAGE(_xlfn._xlws.FILTER(Tabla1[[#Data],[AcZ]],Tabla1[[ID]:[ID]]=$A22,0)),"")</f>
        <v/>
      </c>
      <c r="O22" t="str" cm="1">
        <f t="array" ref="O22">IF(IFERROR(MAX(_xlfn._xlws.FILTER(Tabla1[[#Data],[AcZ]],Tabla1[[ID]:[ID]]=$A22,0)),"")=0,"",IFERROR(MAX(_xlfn._xlws.FILTER(Tabla1[[#Data],[AcZ]],Tabla1[[ID]:[ID]]=$A22,0)),""))</f>
        <v/>
      </c>
      <c r="P22" t="str" cm="1">
        <f t="array" ref="P22">IF(IFERROR(MIN(_xlfn._xlws.FILTER(Tabla1[[#Data],[AcZ]],Tabla1[[ID]:[ID]]=$A22,0)),"")=0,"",IFERROR(MIN(_xlfn._xlws.FILTER(Tabla1[[#Data],[AcZ]],Tabla1[[ID]:[ID]]=$A22,0)),""))</f>
        <v/>
      </c>
      <c r="Q22" t="str" cm="1">
        <f t="array" ref="Q22">IFERROR(AVERAGE(_xlfn._xlws.FILTER(Tabla1[[#Data],[GyX]],Tabla1[[ID]:[ID]]=$A22,0)),"")</f>
        <v/>
      </c>
      <c r="R22" t="str" cm="1">
        <f t="array" ref="R22">IF(IFERROR(MAX(_xlfn._xlws.FILTER(Tabla1[[#Data],[GyX]],Tabla1[[ID]:[ID]]=$A22,0)),"")=0,"",IFERROR(MAX(_xlfn._xlws.FILTER(Tabla1[[#Data],[GyX]],Tabla1[[ID]:[ID]]=$A22,0)),""))</f>
        <v/>
      </c>
      <c r="S22" t="str" cm="1">
        <f t="array" ref="S22">IF(IFERROR(MIN(_xlfn._xlws.FILTER(Tabla1[[#Data],[GyX]],Tabla1[[ID]:[ID]]=$A22,0)),"")=0,"",IFERROR(MIN(_xlfn._xlws.FILTER(Tabla1[[#Data],[GyX]],Tabla1[[ID]:[ID]]=$A22,0)),""))</f>
        <v/>
      </c>
      <c r="T22" t="str" cm="1">
        <f t="array" ref="T22">IFERROR(AVERAGE(_xlfn._xlws.FILTER(Tabla1[[#Data],[GyY]],Tabla1[[ID]:[ID]]=$A22,0)),"")</f>
        <v/>
      </c>
      <c r="U22" t="str" cm="1">
        <f t="array" ref="U22">IF(IFERROR(MAX(_xlfn._xlws.FILTER(Tabla1[[#Data],[GyY]],Tabla1[[ID]:[ID]]=$A22,0)),"")=0,"",IFERROR(MAX(_xlfn._xlws.FILTER(Tabla1[[#Data],[GyY]],Tabla1[[ID]:[ID]]=$A22,0)),""))</f>
        <v/>
      </c>
      <c r="V22" t="str" cm="1">
        <f t="array" ref="V22">IF(IFERROR(MIN(_xlfn._xlws.FILTER(Tabla1[[#Data],[GyY]],Tabla1[[ID]:[ID]]=$A22,0)),"")=0,"",IFERROR(MIN(_xlfn._xlws.FILTER(Tabla1[[#Data],[GyY]],Tabla1[[ID]:[ID]]=$A22,0)),""))</f>
        <v/>
      </c>
      <c r="W22" t="str" cm="1">
        <f t="array" ref="W22">IFERROR(AVERAGE(_xlfn._xlws.FILTER(Tabla1[[#Data],[GyZ]],Tabla1[[ID]:[ID]]=$A22,0)),"")</f>
        <v/>
      </c>
      <c r="X22" t="str" cm="1">
        <f t="array" ref="X22">IF(IFERROR(MAX(_xlfn._xlws.FILTER(Tabla1[[#Data],[GyZ]],Tabla1[[ID]:[ID]]=$A22,0)),"")=0,"",IFERROR(MAX(_xlfn._xlws.FILTER(Tabla1[[#Data],[GyZ]],Tabla1[[ID]:[ID]]=$A22,0)),""))</f>
        <v/>
      </c>
      <c r="Y22" t="str" cm="1">
        <f t="array" ref="Y22">IF(IFERROR(MIN(_xlfn._xlws.FILTER(Tabla1[[#Data],[GyZ]],Tabla1[[ID]:[ID]]=$A22,0)),"")=0,"",IFERROR(MIN(_xlfn._xlws.FILTER(Tabla1[[#Data],[GyZ]],Tabla1[[ID]:[ID]]=$A22,0)),""))</f>
        <v/>
      </c>
      <c r="Z22" t="str" cm="1">
        <f t="array" ref="Z22">IF(ISNUMBER(A22),IF(ISNUMBER(MATCH(1,_xlfn._xlws.FILTER(Tabla1[[#Data],[Open]],Tabla1[[ID]:[ID]]=$A22,""))),1,0),"")</f>
        <v/>
      </c>
      <c r="AA22" t="str">
        <f t="shared" si="0"/>
        <v/>
      </c>
      <c r="AB22" t="str">
        <f t="shared" si="1"/>
        <v/>
      </c>
      <c r="AC22" t="str">
        <f t="shared" si="2"/>
        <v/>
      </c>
      <c r="AD22" t="str">
        <f t="shared" si="3"/>
        <v/>
      </c>
      <c r="AE22" t="str">
        <f t="shared" si="4"/>
        <v/>
      </c>
      <c r="AF22" t="str">
        <f t="shared" si="5"/>
        <v/>
      </c>
      <c r="AG22" t="str">
        <f t="shared" si="6"/>
        <v/>
      </c>
      <c r="AH22" t="str">
        <f t="shared" si="7"/>
        <v/>
      </c>
      <c r="AI22" t="str">
        <f t="shared" si="8"/>
        <v/>
      </c>
      <c r="AJ22" t="str">
        <f t="shared" si="9"/>
        <v/>
      </c>
    </row>
    <row r="23" spans="2:36" x14ac:dyDescent="0.35">
      <c r="B23" t="str" cm="1">
        <f t="array" ref="B23">IFERROR(AVERAGE(_xlfn._xlws.FILTER(Tabla1[[#Data],[Temperatura]],Tabla1[[ID]:[ID]]=$A23,0)),"")</f>
        <v/>
      </c>
      <c r="C23" t="str" cm="1">
        <f t="array" ref="C23">IF(IFERROR(MAX(_xlfn._xlws.FILTER(Tabla1[[#Data],[Temperatura]],Tabla1[[ID]:[ID]]=$A23,0)),"")=0,"",IFERROR(MAX(_xlfn._xlws.FILTER(Tabla1[[#Data],[Temperatura]],Tabla1[[ID]:[ID]]=$A23,0)),""))</f>
        <v/>
      </c>
      <c r="D23" t="str" cm="1">
        <f t="array" ref="D23">IF(IFERROR(MIN(_xlfn._xlws.FILTER(Tabla1[[#Data],[Temperatura]],Tabla1[[ID]:[ID]]=$A23,0)),"")=0,"",IFERROR(MIN(_xlfn._xlws.FILTER(Tabla1[[#Data],[Temperatura]],Tabla1[[ID]:[ID]]=$A23,0)),""))</f>
        <v/>
      </c>
      <c r="E23" t="str" cm="1">
        <f t="array" ref="E23">IFERROR(AVERAGE(_xlfn._xlws.FILTER(Tabla1[[#Data],[Humidade]],Tabla1[[ID]:[ID]]=$A23,0)),"")</f>
        <v/>
      </c>
      <c r="F23" t="str" cm="1">
        <f t="array" ref="F23">IF(IFERROR(MAX(_xlfn._xlws.FILTER(Tabla1[[#Data],[Humidade]],Tabla1[[ID]:[ID]]=$A23,0)),"")=0,"",IFERROR(MAX(_xlfn._xlws.FILTER(Tabla1[[#Data],[Humidade]],Tabla1[[ID]:[ID]]=$A23,0)),""))</f>
        <v/>
      </c>
      <c r="G23" t="str" cm="1">
        <f t="array" ref="G23">IF(IFERROR(MIN(_xlfn._xlws.FILTER(Tabla1[[#Data],[Humidade]],Tabla1[[ID]:[ID]]=$A23,0)),"")=0,"",IFERROR(MIN(_xlfn._xlws.FILTER(Tabla1[[#Data],[Humidade]],Tabla1[[ID]:[ID]]=$A23,0)),""))</f>
        <v/>
      </c>
      <c r="H23" t="str" cm="1">
        <f t="array" ref="H23">IFERROR(AVERAGE(_xlfn._xlws.FILTER(Tabla1[[#Data],[AcX]],Tabla1[[ID]:[ID]]=$A23,0)),"")</f>
        <v/>
      </c>
      <c r="I23" t="str" cm="1">
        <f t="array" ref="I23">IF(IFERROR(MAX(_xlfn._xlws.FILTER(Tabla1[[#Data],[AcX]],Tabla1[[ID]:[ID]]=$A23,0)),"")=0,"",IFERROR(MAX(_xlfn._xlws.FILTER(Tabla1[[#Data],[AcX]],Tabla1[[ID]:[ID]]=$A23,0)),""))</f>
        <v/>
      </c>
      <c r="J23" t="str" cm="1">
        <f t="array" ref="J23">IF(IFERROR(MIN(_xlfn._xlws.FILTER(Tabla1[[#Data],[AcX]],Tabla1[[ID]:[ID]]=$A23,0)),"")=0,"",IFERROR(MIN(_xlfn._xlws.FILTER(Tabla1[[#Data],[AcX]],Tabla1[[ID]:[ID]]=$A23,0)),""))</f>
        <v/>
      </c>
      <c r="K23" t="str" cm="1">
        <f t="array" ref="K23">IFERROR(AVERAGE(_xlfn._xlws.FILTER(Tabla1[[#Data],[AcY]],Tabla1[[ID]:[ID]]=$A23,0)),"")</f>
        <v/>
      </c>
      <c r="L23" t="str" cm="1">
        <f t="array" ref="L23">IF(IFERROR(MAX(_xlfn._xlws.FILTER(Tabla1[[#Data],[AcY]],Tabla1[[ID]:[ID]]=$A23,0)),"")=0,"",IFERROR(MAX(_xlfn._xlws.FILTER(Tabla1[[#Data],[AcY]],Tabla1[[ID]:[ID]]=$A23,0)),""))</f>
        <v/>
      </c>
      <c r="M23" t="str" cm="1">
        <f t="array" ref="M23">IF(IFERROR(MIN(_xlfn._xlws.FILTER(Tabla1[[#Data],[AcY]],Tabla1[[ID]:[ID]]=$A23,0)),"")=0,"",IFERROR(MIN(_xlfn._xlws.FILTER(Tabla1[[#Data],[AcY]],Tabla1[[ID]:[ID]]=$A23,0)),""))</f>
        <v/>
      </c>
      <c r="N23" t="str" cm="1">
        <f t="array" ref="N23">IFERROR(AVERAGE(_xlfn._xlws.FILTER(Tabla1[[#Data],[AcZ]],Tabla1[[ID]:[ID]]=$A23,0)),"")</f>
        <v/>
      </c>
      <c r="O23" t="str" cm="1">
        <f t="array" ref="O23">IF(IFERROR(MAX(_xlfn._xlws.FILTER(Tabla1[[#Data],[AcZ]],Tabla1[[ID]:[ID]]=$A23,0)),"")=0,"",IFERROR(MAX(_xlfn._xlws.FILTER(Tabla1[[#Data],[AcZ]],Tabla1[[ID]:[ID]]=$A23,0)),""))</f>
        <v/>
      </c>
      <c r="P23" t="str" cm="1">
        <f t="array" ref="P23">IF(IFERROR(MIN(_xlfn._xlws.FILTER(Tabla1[[#Data],[AcZ]],Tabla1[[ID]:[ID]]=$A23,0)),"")=0,"",IFERROR(MIN(_xlfn._xlws.FILTER(Tabla1[[#Data],[AcZ]],Tabla1[[ID]:[ID]]=$A23,0)),""))</f>
        <v/>
      </c>
      <c r="Q23" t="str" cm="1">
        <f t="array" ref="Q23">IFERROR(AVERAGE(_xlfn._xlws.FILTER(Tabla1[[#Data],[GyX]],Tabla1[[ID]:[ID]]=$A23,0)),"")</f>
        <v/>
      </c>
      <c r="R23" t="str" cm="1">
        <f t="array" ref="R23">IF(IFERROR(MAX(_xlfn._xlws.FILTER(Tabla1[[#Data],[GyX]],Tabla1[[ID]:[ID]]=$A23,0)),"")=0,"",IFERROR(MAX(_xlfn._xlws.FILTER(Tabla1[[#Data],[GyX]],Tabla1[[ID]:[ID]]=$A23,0)),""))</f>
        <v/>
      </c>
      <c r="S23" t="str" cm="1">
        <f t="array" ref="S23">IF(IFERROR(MIN(_xlfn._xlws.FILTER(Tabla1[[#Data],[GyX]],Tabla1[[ID]:[ID]]=$A23,0)),"")=0,"",IFERROR(MIN(_xlfn._xlws.FILTER(Tabla1[[#Data],[GyX]],Tabla1[[ID]:[ID]]=$A23,0)),""))</f>
        <v/>
      </c>
      <c r="T23" t="str" cm="1">
        <f t="array" ref="T23">IFERROR(AVERAGE(_xlfn._xlws.FILTER(Tabla1[[#Data],[GyY]],Tabla1[[ID]:[ID]]=$A23,0)),"")</f>
        <v/>
      </c>
      <c r="U23" t="str" cm="1">
        <f t="array" ref="U23">IF(IFERROR(MAX(_xlfn._xlws.FILTER(Tabla1[[#Data],[GyY]],Tabla1[[ID]:[ID]]=$A23,0)),"")=0,"",IFERROR(MAX(_xlfn._xlws.FILTER(Tabla1[[#Data],[GyY]],Tabla1[[ID]:[ID]]=$A23,0)),""))</f>
        <v/>
      </c>
      <c r="V23" t="str" cm="1">
        <f t="array" ref="V23">IF(IFERROR(MIN(_xlfn._xlws.FILTER(Tabla1[[#Data],[GyY]],Tabla1[[ID]:[ID]]=$A23,0)),"")=0,"",IFERROR(MIN(_xlfn._xlws.FILTER(Tabla1[[#Data],[GyY]],Tabla1[[ID]:[ID]]=$A23,0)),""))</f>
        <v/>
      </c>
      <c r="W23" t="str" cm="1">
        <f t="array" ref="W23">IFERROR(AVERAGE(_xlfn._xlws.FILTER(Tabla1[[#Data],[GyZ]],Tabla1[[ID]:[ID]]=$A23,0)),"")</f>
        <v/>
      </c>
      <c r="X23" t="str" cm="1">
        <f t="array" ref="X23">IF(IFERROR(MAX(_xlfn._xlws.FILTER(Tabla1[[#Data],[GyZ]],Tabla1[[ID]:[ID]]=$A23,0)),"")=0,"",IFERROR(MAX(_xlfn._xlws.FILTER(Tabla1[[#Data],[GyZ]],Tabla1[[ID]:[ID]]=$A23,0)),""))</f>
        <v/>
      </c>
      <c r="Y23" t="str" cm="1">
        <f t="array" ref="Y23">IF(IFERROR(MIN(_xlfn._xlws.FILTER(Tabla1[[#Data],[GyZ]],Tabla1[[ID]:[ID]]=$A23,0)),"")=0,"",IFERROR(MIN(_xlfn._xlws.FILTER(Tabla1[[#Data],[GyZ]],Tabla1[[ID]:[ID]]=$A23,0)),""))</f>
        <v/>
      </c>
      <c r="Z23" t="str" cm="1">
        <f t="array" ref="Z23">IF(ISNUMBER(A23),IF(ISNUMBER(MATCH(1,_xlfn._xlws.FILTER(Tabla1[[#Data],[Open]],Tabla1[[ID]:[ID]]=$A23,""))),1,0),"")</f>
        <v/>
      </c>
      <c r="AA23" t="str">
        <f t="shared" si="0"/>
        <v/>
      </c>
      <c r="AB23" t="str">
        <f t="shared" si="1"/>
        <v/>
      </c>
      <c r="AC23" t="str">
        <f t="shared" si="2"/>
        <v/>
      </c>
      <c r="AD23" t="str">
        <f t="shared" si="3"/>
        <v/>
      </c>
      <c r="AE23" t="str">
        <f t="shared" si="4"/>
        <v/>
      </c>
      <c r="AF23" t="str">
        <f t="shared" si="5"/>
        <v/>
      </c>
      <c r="AG23" t="str">
        <f t="shared" si="6"/>
        <v/>
      </c>
      <c r="AH23" t="str">
        <f t="shared" si="7"/>
        <v/>
      </c>
      <c r="AI23" t="str">
        <f t="shared" si="8"/>
        <v/>
      </c>
      <c r="AJ23" t="str">
        <f t="shared" si="9"/>
        <v/>
      </c>
    </row>
    <row r="24" spans="2:36" x14ac:dyDescent="0.35">
      <c r="B24" t="str" cm="1">
        <f t="array" ref="B24">IFERROR(AVERAGE(_xlfn._xlws.FILTER(Tabla1[[#Data],[Temperatura]],Tabla1[[ID]:[ID]]=$A24,0)),"")</f>
        <v/>
      </c>
      <c r="C24" t="str" cm="1">
        <f t="array" ref="C24">IF(IFERROR(MAX(_xlfn._xlws.FILTER(Tabla1[[#Data],[Temperatura]],Tabla1[[ID]:[ID]]=$A24,0)),"")=0,"",IFERROR(MAX(_xlfn._xlws.FILTER(Tabla1[[#Data],[Temperatura]],Tabla1[[ID]:[ID]]=$A24,0)),""))</f>
        <v/>
      </c>
      <c r="D24" t="str" cm="1">
        <f t="array" ref="D24">IF(IFERROR(MIN(_xlfn._xlws.FILTER(Tabla1[[#Data],[Temperatura]],Tabla1[[ID]:[ID]]=$A24,0)),"")=0,"",IFERROR(MIN(_xlfn._xlws.FILTER(Tabla1[[#Data],[Temperatura]],Tabla1[[ID]:[ID]]=$A24,0)),""))</f>
        <v/>
      </c>
      <c r="E24" t="str" cm="1">
        <f t="array" ref="E24">IFERROR(AVERAGE(_xlfn._xlws.FILTER(Tabla1[[#Data],[Humidade]],Tabla1[[ID]:[ID]]=$A24,0)),"")</f>
        <v/>
      </c>
      <c r="F24" t="str" cm="1">
        <f t="array" ref="F24">IF(IFERROR(MAX(_xlfn._xlws.FILTER(Tabla1[[#Data],[Humidade]],Tabla1[[ID]:[ID]]=$A24,0)),"")=0,"",IFERROR(MAX(_xlfn._xlws.FILTER(Tabla1[[#Data],[Humidade]],Tabla1[[ID]:[ID]]=$A24,0)),""))</f>
        <v/>
      </c>
      <c r="G24" t="str" cm="1">
        <f t="array" ref="G24">IF(IFERROR(MIN(_xlfn._xlws.FILTER(Tabla1[[#Data],[Humidade]],Tabla1[[ID]:[ID]]=$A24,0)),"")=0,"",IFERROR(MIN(_xlfn._xlws.FILTER(Tabla1[[#Data],[Humidade]],Tabla1[[ID]:[ID]]=$A24,0)),""))</f>
        <v/>
      </c>
      <c r="H24" t="str" cm="1">
        <f t="array" ref="H24">IFERROR(AVERAGE(_xlfn._xlws.FILTER(Tabla1[[#Data],[AcX]],Tabla1[[ID]:[ID]]=$A24,0)),"")</f>
        <v/>
      </c>
      <c r="I24" t="str" cm="1">
        <f t="array" ref="I24">IF(IFERROR(MAX(_xlfn._xlws.FILTER(Tabla1[[#Data],[AcX]],Tabla1[[ID]:[ID]]=$A24,0)),"")=0,"",IFERROR(MAX(_xlfn._xlws.FILTER(Tabla1[[#Data],[AcX]],Tabla1[[ID]:[ID]]=$A24,0)),""))</f>
        <v/>
      </c>
      <c r="J24" t="str" cm="1">
        <f t="array" ref="J24">IF(IFERROR(MIN(_xlfn._xlws.FILTER(Tabla1[[#Data],[AcX]],Tabla1[[ID]:[ID]]=$A24,0)),"")=0,"",IFERROR(MIN(_xlfn._xlws.FILTER(Tabla1[[#Data],[AcX]],Tabla1[[ID]:[ID]]=$A24,0)),""))</f>
        <v/>
      </c>
      <c r="K24" t="str" cm="1">
        <f t="array" ref="K24">IFERROR(AVERAGE(_xlfn._xlws.FILTER(Tabla1[[#Data],[AcY]],Tabla1[[ID]:[ID]]=$A24,0)),"")</f>
        <v/>
      </c>
      <c r="L24" t="str" cm="1">
        <f t="array" ref="L24">IF(IFERROR(MAX(_xlfn._xlws.FILTER(Tabla1[[#Data],[AcY]],Tabla1[[ID]:[ID]]=$A24,0)),"")=0,"",IFERROR(MAX(_xlfn._xlws.FILTER(Tabla1[[#Data],[AcY]],Tabla1[[ID]:[ID]]=$A24,0)),""))</f>
        <v/>
      </c>
      <c r="M24" t="str" cm="1">
        <f t="array" ref="M24">IF(IFERROR(MIN(_xlfn._xlws.FILTER(Tabla1[[#Data],[AcY]],Tabla1[[ID]:[ID]]=$A24,0)),"")=0,"",IFERROR(MIN(_xlfn._xlws.FILTER(Tabla1[[#Data],[AcY]],Tabla1[[ID]:[ID]]=$A24,0)),""))</f>
        <v/>
      </c>
      <c r="N24" t="str" cm="1">
        <f t="array" ref="N24">IFERROR(AVERAGE(_xlfn._xlws.FILTER(Tabla1[[#Data],[AcZ]],Tabla1[[ID]:[ID]]=$A24,0)),"")</f>
        <v/>
      </c>
      <c r="O24" t="str" cm="1">
        <f t="array" ref="O24">IF(IFERROR(MAX(_xlfn._xlws.FILTER(Tabla1[[#Data],[AcZ]],Tabla1[[ID]:[ID]]=$A24,0)),"")=0,"",IFERROR(MAX(_xlfn._xlws.FILTER(Tabla1[[#Data],[AcZ]],Tabla1[[ID]:[ID]]=$A24,0)),""))</f>
        <v/>
      </c>
      <c r="P24" t="str" cm="1">
        <f t="array" ref="P24">IF(IFERROR(MIN(_xlfn._xlws.FILTER(Tabla1[[#Data],[AcZ]],Tabla1[[ID]:[ID]]=$A24,0)),"")=0,"",IFERROR(MIN(_xlfn._xlws.FILTER(Tabla1[[#Data],[AcZ]],Tabla1[[ID]:[ID]]=$A24,0)),""))</f>
        <v/>
      </c>
      <c r="Q24" t="str" cm="1">
        <f t="array" ref="Q24">IFERROR(AVERAGE(_xlfn._xlws.FILTER(Tabla1[[#Data],[GyX]],Tabla1[[ID]:[ID]]=$A24,0)),"")</f>
        <v/>
      </c>
      <c r="R24" t="str" cm="1">
        <f t="array" ref="R24">IF(IFERROR(MAX(_xlfn._xlws.FILTER(Tabla1[[#Data],[GyX]],Tabla1[[ID]:[ID]]=$A24,0)),"")=0,"",IFERROR(MAX(_xlfn._xlws.FILTER(Tabla1[[#Data],[GyX]],Tabla1[[ID]:[ID]]=$A24,0)),""))</f>
        <v/>
      </c>
      <c r="S24" t="str" cm="1">
        <f t="array" ref="S24">IF(IFERROR(MIN(_xlfn._xlws.FILTER(Tabla1[[#Data],[GyX]],Tabla1[[ID]:[ID]]=$A24,0)),"")=0,"",IFERROR(MIN(_xlfn._xlws.FILTER(Tabla1[[#Data],[GyX]],Tabla1[[ID]:[ID]]=$A24,0)),""))</f>
        <v/>
      </c>
      <c r="T24" t="str" cm="1">
        <f t="array" ref="T24">IFERROR(AVERAGE(_xlfn._xlws.FILTER(Tabla1[[#Data],[GyY]],Tabla1[[ID]:[ID]]=$A24,0)),"")</f>
        <v/>
      </c>
      <c r="U24" t="str" cm="1">
        <f t="array" ref="U24">IF(IFERROR(MAX(_xlfn._xlws.FILTER(Tabla1[[#Data],[GyY]],Tabla1[[ID]:[ID]]=$A24,0)),"")=0,"",IFERROR(MAX(_xlfn._xlws.FILTER(Tabla1[[#Data],[GyY]],Tabla1[[ID]:[ID]]=$A24,0)),""))</f>
        <v/>
      </c>
      <c r="V24" t="str" cm="1">
        <f t="array" ref="V24">IF(IFERROR(MIN(_xlfn._xlws.FILTER(Tabla1[[#Data],[GyY]],Tabla1[[ID]:[ID]]=$A24,0)),"")=0,"",IFERROR(MIN(_xlfn._xlws.FILTER(Tabla1[[#Data],[GyY]],Tabla1[[ID]:[ID]]=$A24,0)),""))</f>
        <v/>
      </c>
      <c r="W24" t="str" cm="1">
        <f t="array" ref="W24">IFERROR(AVERAGE(_xlfn._xlws.FILTER(Tabla1[[#Data],[GyZ]],Tabla1[[ID]:[ID]]=$A24,0)),"")</f>
        <v/>
      </c>
      <c r="X24" t="str" cm="1">
        <f t="array" ref="X24">IF(IFERROR(MAX(_xlfn._xlws.FILTER(Tabla1[[#Data],[GyZ]],Tabla1[[ID]:[ID]]=$A24,0)),"")=0,"",IFERROR(MAX(_xlfn._xlws.FILTER(Tabla1[[#Data],[GyZ]],Tabla1[[ID]:[ID]]=$A24,0)),""))</f>
        <v/>
      </c>
      <c r="Y24" t="str" cm="1">
        <f t="array" ref="Y24">IF(IFERROR(MIN(_xlfn._xlws.FILTER(Tabla1[[#Data],[GyZ]],Tabla1[[ID]:[ID]]=$A24,0)),"")=0,"",IFERROR(MIN(_xlfn._xlws.FILTER(Tabla1[[#Data],[GyZ]],Tabla1[[ID]:[ID]]=$A24,0)),""))</f>
        <v/>
      </c>
      <c r="Z24" t="str" cm="1">
        <f t="array" ref="Z24">IF(ISNUMBER(A24),IF(ISNUMBER(MATCH(1,_xlfn._xlws.FILTER(Tabla1[[#Data],[Open]],Tabla1[[ID]:[ID]]=$A24,""))),1,0),"")</f>
        <v/>
      </c>
      <c r="AA24" t="str">
        <f t="shared" si="0"/>
        <v/>
      </c>
      <c r="AB24" t="str">
        <f t="shared" si="1"/>
        <v/>
      </c>
      <c r="AC24" t="str">
        <f t="shared" si="2"/>
        <v/>
      </c>
      <c r="AD24" t="str">
        <f t="shared" si="3"/>
        <v/>
      </c>
      <c r="AE24" t="str">
        <f t="shared" si="4"/>
        <v/>
      </c>
      <c r="AF24" t="str">
        <f t="shared" si="5"/>
        <v/>
      </c>
      <c r="AG24" t="str">
        <f t="shared" si="6"/>
        <v/>
      </c>
      <c r="AH24" t="str">
        <f t="shared" si="7"/>
        <v/>
      </c>
      <c r="AI24" t="str">
        <f t="shared" si="8"/>
        <v/>
      </c>
      <c r="AJ24" t="str">
        <f t="shared" si="9"/>
        <v/>
      </c>
    </row>
    <row r="25" spans="2:36" x14ac:dyDescent="0.35">
      <c r="B25" t="str" cm="1">
        <f t="array" ref="B25">IFERROR(AVERAGE(_xlfn._xlws.FILTER(Tabla1[[#Data],[Temperatura]],Tabla1[[ID]:[ID]]=$A25,0)),"")</f>
        <v/>
      </c>
      <c r="C25" t="str" cm="1">
        <f t="array" ref="C25">IF(IFERROR(MAX(_xlfn._xlws.FILTER(Tabla1[[#Data],[Temperatura]],Tabla1[[ID]:[ID]]=$A25,0)),"")=0,"",IFERROR(MAX(_xlfn._xlws.FILTER(Tabla1[[#Data],[Temperatura]],Tabla1[[ID]:[ID]]=$A25,0)),""))</f>
        <v/>
      </c>
      <c r="D25" t="str" cm="1">
        <f t="array" ref="D25">IF(IFERROR(MIN(_xlfn._xlws.FILTER(Tabla1[[#Data],[Temperatura]],Tabla1[[ID]:[ID]]=$A25,0)),"")=0,"",IFERROR(MIN(_xlfn._xlws.FILTER(Tabla1[[#Data],[Temperatura]],Tabla1[[ID]:[ID]]=$A25,0)),""))</f>
        <v/>
      </c>
      <c r="E25" t="str" cm="1">
        <f t="array" ref="E25">IFERROR(AVERAGE(_xlfn._xlws.FILTER(Tabla1[[#Data],[Humidade]],Tabla1[[ID]:[ID]]=$A25,0)),"")</f>
        <v/>
      </c>
      <c r="F25" t="str" cm="1">
        <f t="array" ref="F25">IF(IFERROR(MAX(_xlfn._xlws.FILTER(Tabla1[[#Data],[Humidade]],Tabla1[[ID]:[ID]]=$A25,0)),"")=0,"",IFERROR(MAX(_xlfn._xlws.FILTER(Tabla1[[#Data],[Humidade]],Tabla1[[ID]:[ID]]=$A25,0)),""))</f>
        <v/>
      </c>
      <c r="G25" t="str" cm="1">
        <f t="array" ref="G25">IF(IFERROR(MIN(_xlfn._xlws.FILTER(Tabla1[[#Data],[Humidade]],Tabla1[[ID]:[ID]]=$A25,0)),"")=0,"",IFERROR(MIN(_xlfn._xlws.FILTER(Tabla1[[#Data],[Humidade]],Tabla1[[ID]:[ID]]=$A25,0)),""))</f>
        <v/>
      </c>
      <c r="H25" t="str" cm="1">
        <f t="array" ref="H25">IFERROR(AVERAGE(_xlfn._xlws.FILTER(Tabla1[[#Data],[AcX]],Tabla1[[ID]:[ID]]=$A25,0)),"")</f>
        <v/>
      </c>
      <c r="I25" t="str" cm="1">
        <f t="array" ref="I25">IF(IFERROR(MAX(_xlfn._xlws.FILTER(Tabla1[[#Data],[AcX]],Tabla1[[ID]:[ID]]=$A25,0)),"")=0,"",IFERROR(MAX(_xlfn._xlws.FILTER(Tabla1[[#Data],[AcX]],Tabla1[[ID]:[ID]]=$A25,0)),""))</f>
        <v/>
      </c>
      <c r="J25" t="str" cm="1">
        <f t="array" ref="J25">IF(IFERROR(MIN(_xlfn._xlws.FILTER(Tabla1[[#Data],[AcX]],Tabla1[[ID]:[ID]]=$A25,0)),"")=0,"",IFERROR(MIN(_xlfn._xlws.FILTER(Tabla1[[#Data],[AcX]],Tabla1[[ID]:[ID]]=$A25,0)),""))</f>
        <v/>
      </c>
      <c r="K25" t="str" cm="1">
        <f t="array" ref="K25">IFERROR(AVERAGE(_xlfn._xlws.FILTER(Tabla1[[#Data],[AcY]],Tabla1[[ID]:[ID]]=$A25,0)),"")</f>
        <v/>
      </c>
      <c r="L25" t="str" cm="1">
        <f t="array" ref="L25">IF(IFERROR(MAX(_xlfn._xlws.FILTER(Tabla1[[#Data],[AcY]],Tabla1[[ID]:[ID]]=$A25,0)),"")=0,"",IFERROR(MAX(_xlfn._xlws.FILTER(Tabla1[[#Data],[AcY]],Tabla1[[ID]:[ID]]=$A25,0)),""))</f>
        <v/>
      </c>
      <c r="M25" t="str" cm="1">
        <f t="array" ref="M25">IF(IFERROR(MIN(_xlfn._xlws.FILTER(Tabla1[[#Data],[AcY]],Tabla1[[ID]:[ID]]=$A25,0)),"")=0,"",IFERROR(MIN(_xlfn._xlws.FILTER(Tabla1[[#Data],[AcY]],Tabla1[[ID]:[ID]]=$A25,0)),""))</f>
        <v/>
      </c>
      <c r="N25" t="str" cm="1">
        <f t="array" ref="N25">IFERROR(AVERAGE(_xlfn._xlws.FILTER(Tabla1[[#Data],[AcZ]],Tabla1[[ID]:[ID]]=$A25,0)),"")</f>
        <v/>
      </c>
      <c r="O25" t="str" cm="1">
        <f t="array" ref="O25">IF(IFERROR(MAX(_xlfn._xlws.FILTER(Tabla1[[#Data],[AcZ]],Tabla1[[ID]:[ID]]=$A25,0)),"")=0,"",IFERROR(MAX(_xlfn._xlws.FILTER(Tabla1[[#Data],[AcZ]],Tabla1[[ID]:[ID]]=$A25,0)),""))</f>
        <v/>
      </c>
      <c r="P25" t="str" cm="1">
        <f t="array" ref="P25">IF(IFERROR(MIN(_xlfn._xlws.FILTER(Tabla1[[#Data],[AcZ]],Tabla1[[ID]:[ID]]=$A25,0)),"")=0,"",IFERROR(MIN(_xlfn._xlws.FILTER(Tabla1[[#Data],[AcZ]],Tabla1[[ID]:[ID]]=$A25,0)),""))</f>
        <v/>
      </c>
      <c r="Q25" t="str" cm="1">
        <f t="array" ref="Q25">IFERROR(AVERAGE(_xlfn._xlws.FILTER(Tabla1[[#Data],[GyX]],Tabla1[[ID]:[ID]]=$A25,0)),"")</f>
        <v/>
      </c>
      <c r="R25" t="str" cm="1">
        <f t="array" ref="R25">IF(IFERROR(MAX(_xlfn._xlws.FILTER(Tabla1[[#Data],[GyX]],Tabla1[[ID]:[ID]]=$A25,0)),"")=0,"",IFERROR(MAX(_xlfn._xlws.FILTER(Tabla1[[#Data],[GyX]],Tabla1[[ID]:[ID]]=$A25,0)),""))</f>
        <v/>
      </c>
      <c r="S25" t="str" cm="1">
        <f t="array" ref="S25">IF(IFERROR(MIN(_xlfn._xlws.FILTER(Tabla1[[#Data],[GyX]],Tabla1[[ID]:[ID]]=$A25,0)),"")=0,"",IFERROR(MIN(_xlfn._xlws.FILTER(Tabla1[[#Data],[GyX]],Tabla1[[ID]:[ID]]=$A25,0)),""))</f>
        <v/>
      </c>
      <c r="T25" t="str" cm="1">
        <f t="array" ref="T25">IFERROR(AVERAGE(_xlfn._xlws.FILTER(Tabla1[[#Data],[GyY]],Tabla1[[ID]:[ID]]=$A25,0)),"")</f>
        <v/>
      </c>
      <c r="U25" t="str" cm="1">
        <f t="array" ref="U25">IF(IFERROR(MAX(_xlfn._xlws.FILTER(Tabla1[[#Data],[GyY]],Tabla1[[ID]:[ID]]=$A25,0)),"")=0,"",IFERROR(MAX(_xlfn._xlws.FILTER(Tabla1[[#Data],[GyY]],Tabla1[[ID]:[ID]]=$A25,0)),""))</f>
        <v/>
      </c>
      <c r="V25" t="str" cm="1">
        <f t="array" ref="V25">IF(IFERROR(MIN(_xlfn._xlws.FILTER(Tabla1[[#Data],[GyY]],Tabla1[[ID]:[ID]]=$A25,0)),"")=0,"",IFERROR(MIN(_xlfn._xlws.FILTER(Tabla1[[#Data],[GyY]],Tabla1[[ID]:[ID]]=$A25,0)),""))</f>
        <v/>
      </c>
      <c r="W25" t="str" cm="1">
        <f t="array" ref="W25">IFERROR(AVERAGE(_xlfn._xlws.FILTER(Tabla1[[#Data],[GyZ]],Tabla1[[ID]:[ID]]=$A25,0)),"")</f>
        <v/>
      </c>
      <c r="X25" t="str" cm="1">
        <f t="array" ref="X25">IF(IFERROR(MAX(_xlfn._xlws.FILTER(Tabla1[[#Data],[GyZ]],Tabla1[[ID]:[ID]]=$A25,0)),"")=0,"",IFERROR(MAX(_xlfn._xlws.FILTER(Tabla1[[#Data],[GyZ]],Tabla1[[ID]:[ID]]=$A25,0)),""))</f>
        <v/>
      </c>
      <c r="Y25" t="str" cm="1">
        <f t="array" ref="Y25">IF(IFERROR(MIN(_xlfn._xlws.FILTER(Tabla1[[#Data],[GyZ]],Tabla1[[ID]:[ID]]=$A25,0)),"")=0,"",IFERROR(MIN(_xlfn._xlws.FILTER(Tabla1[[#Data],[GyZ]],Tabla1[[ID]:[ID]]=$A25,0)),""))</f>
        <v/>
      </c>
      <c r="Z25" t="str" cm="1">
        <f t="array" ref="Z25">IF(ISNUMBER(A25),IF(ISNUMBER(MATCH(1,_xlfn._xlws.FILTER(Tabla1[[#Data],[Open]],Tabla1[[ID]:[ID]]=$A25,""))),1,0),"")</f>
        <v/>
      </c>
      <c r="AA25" t="str">
        <f t="shared" si="0"/>
        <v/>
      </c>
      <c r="AB25" t="str">
        <f t="shared" si="1"/>
        <v/>
      </c>
      <c r="AC25" t="str">
        <f t="shared" si="2"/>
        <v/>
      </c>
      <c r="AD25" t="str">
        <f t="shared" si="3"/>
        <v/>
      </c>
      <c r="AE25" t="str">
        <f t="shared" si="4"/>
        <v/>
      </c>
      <c r="AF25" t="str">
        <f t="shared" si="5"/>
        <v/>
      </c>
      <c r="AG25" t="str">
        <f t="shared" si="6"/>
        <v/>
      </c>
      <c r="AH25" t="str">
        <f t="shared" si="7"/>
        <v/>
      </c>
      <c r="AI25" t="str">
        <f t="shared" si="8"/>
        <v/>
      </c>
      <c r="AJ25" t="str">
        <f t="shared" si="9"/>
        <v/>
      </c>
    </row>
    <row r="26" spans="2:36" x14ac:dyDescent="0.35">
      <c r="B26" t="str" cm="1">
        <f t="array" ref="B26">IFERROR(AVERAGE(_xlfn._xlws.FILTER(Tabla1[[#Data],[Temperatura]],Tabla1[[ID]:[ID]]=$A26,0)),"")</f>
        <v/>
      </c>
      <c r="C26" t="str" cm="1">
        <f t="array" ref="C26">IF(IFERROR(MAX(_xlfn._xlws.FILTER(Tabla1[[#Data],[Temperatura]],Tabla1[[ID]:[ID]]=$A26,0)),"")=0,"",IFERROR(MAX(_xlfn._xlws.FILTER(Tabla1[[#Data],[Temperatura]],Tabla1[[ID]:[ID]]=$A26,0)),""))</f>
        <v/>
      </c>
      <c r="D26" t="str" cm="1">
        <f t="array" ref="D26">IF(IFERROR(MIN(_xlfn._xlws.FILTER(Tabla1[[#Data],[Temperatura]],Tabla1[[ID]:[ID]]=$A26,0)),"")=0,"",IFERROR(MIN(_xlfn._xlws.FILTER(Tabla1[[#Data],[Temperatura]],Tabla1[[ID]:[ID]]=$A26,0)),""))</f>
        <v/>
      </c>
      <c r="E26" t="str" cm="1">
        <f t="array" ref="E26">IFERROR(AVERAGE(_xlfn._xlws.FILTER(Tabla1[[#Data],[Humidade]],Tabla1[[ID]:[ID]]=$A26,0)),"")</f>
        <v/>
      </c>
      <c r="F26" t="str" cm="1">
        <f t="array" ref="F26">IF(IFERROR(MAX(_xlfn._xlws.FILTER(Tabla1[[#Data],[Humidade]],Tabla1[[ID]:[ID]]=$A26,0)),"")=0,"",IFERROR(MAX(_xlfn._xlws.FILTER(Tabla1[[#Data],[Humidade]],Tabla1[[ID]:[ID]]=$A26,0)),""))</f>
        <v/>
      </c>
      <c r="G26" t="str" cm="1">
        <f t="array" ref="G26">IF(IFERROR(MIN(_xlfn._xlws.FILTER(Tabla1[[#Data],[Humidade]],Tabla1[[ID]:[ID]]=$A26,0)),"")=0,"",IFERROR(MIN(_xlfn._xlws.FILTER(Tabla1[[#Data],[Humidade]],Tabla1[[ID]:[ID]]=$A26,0)),""))</f>
        <v/>
      </c>
      <c r="H26" t="str" cm="1">
        <f t="array" ref="H26">IFERROR(AVERAGE(_xlfn._xlws.FILTER(Tabla1[[#Data],[AcX]],Tabla1[[ID]:[ID]]=$A26,0)),"")</f>
        <v/>
      </c>
      <c r="I26" t="str" cm="1">
        <f t="array" ref="I26">IF(IFERROR(MAX(_xlfn._xlws.FILTER(Tabla1[[#Data],[AcX]],Tabla1[[ID]:[ID]]=$A26,0)),"")=0,"",IFERROR(MAX(_xlfn._xlws.FILTER(Tabla1[[#Data],[AcX]],Tabla1[[ID]:[ID]]=$A26,0)),""))</f>
        <v/>
      </c>
      <c r="J26" t="str" cm="1">
        <f t="array" ref="J26">IF(IFERROR(MIN(_xlfn._xlws.FILTER(Tabla1[[#Data],[AcX]],Tabla1[[ID]:[ID]]=$A26,0)),"")=0,"",IFERROR(MIN(_xlfn._xlws.FILTER(Tabla1[[#Data],[AcX]],Tabla1[[ID]:[ID]]=$A26,0)),""))</f>
        <v/>
      </c>
      <c r="K26" t="str" cm="1">
        <f t="array" ref="K26">IFERROR(AVERAGE(_xlfn._xlws.FILTER(Tabla1[[#Data],[AcY]],Tabla1[[ID]:[ID]]=$A26,0)),"")</f>
        <v/>
      </c>
      <c r="L26" t="str" cm="1">
        <f t="array" ref="L26">IF(IFERROR(MAX(_xlfn._xlws.FILTER(Tabla1[[#Data],[AcY]],Tabla1[[ID]:[ID]]=$A26,0)),"")=0,"",IFERROR(MAX(_xlfn._xlws.FILTER(Tabla1[[#Data],[AcY]],Tabla1[[ID]:[ID]]=$A26,0)),""))</f>
        <v/>
      </c>
      <c r="M26" t="str" cm="1">
        <f t="array" ref="M26">IF(IFERROR(MIN(_xlfn._xlws.FILTER(Tabla1[[#Data],[AcY]],Tabla1[[ID]:[ID]]=$A26,0)),"")=0,"",IFERROR(MIN(_xlfn._xlws.FILTER(Tabla1[[#Data],[AcY]],Tabla1[[ID]:[ID]]=$A26,0)),""))</f>
        <v/>
      </c>
      <c r="N26" t="str" cm="1">
        <f t="array" ref="N26">IFERROR(AVERAGE(_xlfn._xlws.FILTER(Tabla1[[#Data],[AcZ]],Tabla1[[ID]:[ID]]=$A26,0)),"")</f>
        <v/>
      </c>
      <c r="O26" t="str" cm="1">
        <f t="array" ref="O26">IF(IFERROR(MAX(_xlfn._xlws.FILTER(Tabla1[[#Data],[AcZ]],Tabla1[[ID]:[ID]]=$A26,0)),"")=0,"",IFERROR(MAX(_xlfn._xlws.FILTER(Tabla1[[#Data],[AcZ]],Tabla1[[ID]:[ID]]=$A26,0)),""))</f>
        <v/>
      </c>
      <c r="P26" t="str" cm="1">
        <f t="array" ref="P26">IF(IFERROR(MIN(_xlfn._xlws.FILTER(Tabla1[[#Data],[AcZ]],Tabla1[[ID]:[ID]]=$A26,0)),"")=0,"",IFERROR(MIN(_xlfn._xlws.FILTER(Tabla1[[#Data],[AcZ]],Tabla1[[ID]:[ID]]=$A26,0)),""))</f>
        <v/>
      </c>
      <c r="Q26" t="str" cm="1">
        <f t="array" ref="Q26">IFERROR(AVERAGE(_xlfn._xlws.FILTER(Tabla1[[#Data],[GyX]],Tabla1[[ID]:[ID]]=$A26,0)),"")</f>
        <v/>
      </c>
      <c r="R26" t="str" cm="1">
        <f t="array" ref="R26">IF(IFERROR(MAX(_xlfn._xlws.FILTER(Tabla1[[#Data],[GyX]],Tabla1[[ID]:[ID]]=$A26,0)),"")=0,"",IFERROR(MAX(_xlfn._xlws.FILTER(Tabla1[[#Data],[GyX]],Tabla1[[ID]:[ID]]=$A26,0)),""))</f>
        <v/>
      </c>
      <c r="S26" t="str" cm="1">
        <f t="array" ref="S26">IF(IFERROR(MIN(_xlfn._xlws.FILTER(Tabla1[[#Data],[GyX]],Tabla1[[ID]:[ID]]=$A26,0)),"")=0,"",IFERROR(MIN(_xlfn._xlws.FILTER(Tabla1[[#Data],[GyX]],Tabla1[[ID]:[ID]]=$A26,0)),""))</f>
        <v/>
      </c>
      <c r="T26" t="str" cm="1">
        <f t="array" ref="T26">IFERROR(AVERAGE(_xlfn._xlws.FILTER(Tabla1[[#Data],[GyY]],Tabla1[[ID]:[ID]]=$A26,0)),"")</f>
        <v/>
      </c>
      <c r="U26" t="str" cm="1">
        <f t="array" ref="U26">IF(IFERROR(MAX(_xlfn._xlws.FILTER(Tabla1[[#Data],[GyY]],Tabla1[[ID]:[ID]]=$A26,0)),"")=0,"",IFERROR(MAX(_xlfn._xlws.FILTER(Tabla1[[#Data],[GyY]],Tabla1[[ID]:[ID]]=$A26,0)),""))</f>
        <v/>
      </c>
      <c r="V26" t="str" cm="1">
        <f t="array" ref="V26">IF(IFERROR(MIN(_xlfn._xlws.FILTER(Tabla1[[#Data],[GyY]],Tabla1[[ID]:[ID]]=$A26,0)),"")=0,"",IFERROR(MIN(_xlfn._xlws.FILTER(Tabla1[[#Data],[GyY]],Tabla1[[ID]:[ID]]=$A26,0)),""))</f>
        <v/>
      </c>
      <c r="W26" t="str" cm="1">
        <f t="array" ref="W26">IFERROR(AVERAGE(_xlfn._xlws.FILTER(Tabla1[[#Data],[GyZ]],Tabla1[[ID]:[ID]]=$A26,0)),"")</f>
        <v/>
      </c>
      <c r="X26" t="str" cm="1">
        <f t="array" ref="X26">IF(IFERROR(MAX(_xlfn._xlws.FILTER(Tabla1[[#Data],[GyZ]],Tabla1[[ID]:[ID]]=$A26,0)),"")=0,"",IFERROR(MAX(_xlfn._xlws.FILTER(Tabla1[[#Data],[GyZ]],Tabla1[[ID]:[ID]]=$A26,0)),""))</f>
        <v/>
      </c>
      <c r="Y26" t="str" cm="1">
        <f t="array" ref="Y26">IF(IFERROR(MIN(_xlfn._xlws.FILTER(Tabla1[[#Data],[GyZ]],Tabla1[[ID]:[ID]]=$A26,0)),"")=0,"",IFERROR(MIN(_xlfn._xlws.FILTER(Tabla1[[#Data],[GyZ]],Tabla1[[ID]:[ID]]=$A26,0)),""))</f>
        <v/>
      </c>
      <c r="Z26" t="str" cm="1">
        <f t="array" ref="Z26">IF(ISNUMBER(A26),IF(ISNUMBER(MATCH(1,_xlfn._xlws.FILTER(Tabla1[[#Data],[Open]],Tabla1[[ID]:[ID]]=$A26,""))),1,0),"")</f>
        <v/>
      </c>
      <c r="AA26" t="str">
        <f t="shared" si="0"/>
        <v/>
      </c>
      <c r="AB26" t="str">
        <f t="shared" si="1"/>
        <v/>
      </c>
      <c r="AC26" t="str">
        <f t="shared" si="2"/>
        <v/>
      </c>
      <c r="AD26" t="str">
        <f t="shared" si="3"/>
        <v/>
      </c>
      <c r="AE26" t="str">
        <f t="shared" si="4"/>
        <v/>
      </c>
      <c r="AF26" t="str">
        <f t="shared" si="5"/>
        <v/>
      </c>
      <c r="AG26" t="str">
        <f t="shared" si="6"/>
        <v/>
      </c>
      <c r="AH26" t="str">
        <f t="shared" si="7"/>
        <v/>
      </c>
      <c r="AI26" t="str">
        <f t="shared" si="8"/>
        <v/>
      </c>
      <c r="AJ26" t="str">
        <f t="shared" si="9"/>
        <v/>
      </c>
    </row>
    <row r="27" spans="2:36" x14ac:dyDescent="0.35">
      <c r="B27" t="str" cm="1">
        <f t="array" ref="B27">IFERROR(AVERAGE(_xlfn._xlws.FILTER(Tabla1[[#Data],[Temperatura]],Tabla1[[ID]:[ID]]=$A27,0)),"")</f>
        <v/>
      </c>
      <c r="C27" t="str" cm="1">
        <f t="array" ref="C27">IF(IFERROR(MAX(_xlfn._xlws.FILTER(Tabla1[[#Data],[Temperatura]],Tabla1[[ID]:[ID]]=$A27,0)),"")=0,"",IFERROR(MAX(_xlfn._xlws.FILTER(Tabla1[[#Data],[Temperatura]],Tabla1[[ID]:[ID]]=$A27,0)),""))</f>
        <v/>
      </c>
      <c r="D27" t="str" cm="1">
        <f t="array" ref="D27">IF(IFERROR(MIN(_xlfn._xlws.FILTER(Tabla1[[#Data],[Temperatura]],Tabla1[[ID]:[ID]]=$A27,0)),"")=0,"",IFERROR(MIN(_xlfn._xlws.FILTER(Tabla1[[#Data],[Temperatura]],Tabla1[[ID]:[ID]]=$A27,0)),""))</f>
        <v/>
      </c>
      <c r="E27" t="str" cm="1">
        <f t="array" ref="E27">IFERROR(AVERAGE(_xlfn._xlws.FILTER(Tabla1[[#Data],[Humidade]],Tabla1[[ID]:[ID]]=$A27,0)),"")</f>
        <v/>
      </c>
      <c r="F27" t="str" cm="1">
        <f t="array" ref="F27">IF(IFERROR(MAX(_xlfn._xlws.FILTER(Tabla1[[#Data],[Humidade]],Tabla1[[ID]:[ID]]=$A27,0)),"")=0,"",IFERROR(MAX(_xlfn._xlws.FILTER(Tabla1[[#Data],[Humidade]],Tabla1[[ID]:[ID]]=$A27,0)),""))</f>
        <v/>
      </c>
      <c r="G27" t="str" cm="1">
        <f t="array" ref="G27">IF(IFERROR(MIN(_xlfn._xlws.FILTER(Tabla1[[#Data],[Humidade]],Tabla1[[ID]:[ID]]=$A27,0)),"")=0,"",IFERROR(MIN(_xlfn._xlws.FILTER(Tabla1[[#Data],[Humidade]],Tabla1[[ID]:[ID]]=$A27,0)),""))</f>
        <v/>
      </c>
      <c r="H27" t="str" cm="1">
        <f t="array" ref="H27">IFERROR(AVERAGE(_xlfn._xlws.FILTER(Tabla1[[#Data],[AcX]],Tabla1[[ID]:[ID]]=$A27,0)),"")</f>
        <v/>
      </c>
      <c r="I27" t="str" cm="1">
        <f t="array" ref="I27">IF(IFERROR(MAX(_xlfn._xlws.FILTER(Tabla1[[#Data],[AcX]],Tabla1[[ID]:[ID]]=$A27,0)),"")=0,"",IFERROR(MAX(_xlfn._xlws.FILTER(Tabla1[[#Data],[AcX]],Tabla1[[ID]:[ID]]=$A27,0)),""))</f>
        <v/>
      </c>
      <c r="J27" t="str" cm="1">
        <f t="array" ref="J27">IF(IFERROR(MIN(_xlfn._xlws.FILTER(Tabla1[[#Data],[AcX]],Tabla1[[ID]:[ID]]=$A27,0)),"")=0,"",IFERROR(MIN(_xlfn._xlws.FILTER(Tabla1[[#Data],[AcX]],Tabla1[[ID]:[ID]]=$A27,0)),""))</f>
        <v/>
      </c>
      <c r="K27" t="str" cm="1">
        <f t="array" ref="K27">IFERROR(AVERAGE(_xlfn._xlws.FILTER(Tabla1[[#Data],[AcY]],Tabla1[[ID]:[ID]]=$A27,0)),"")</f>
        <v/>
      </c>
      <c r="L27" t="str" cm="1">
        <f t="array" ref="L27">IF(IFERROR(MAX(_xlfn._xlws.FILTER(Tabla1[[#Data],[AcY]],Tabla1[[ID]:[ID]]=$A27,0)),"")=0,"",IFERROR(MAX(_xlfn._xlws.FILTER(Tabla1[[#Data],[AcY]],Tabla1[[ID]:[ID]]=$A27,0)),""))</f>
        <v/>
      </c>
      <c r="M27" t="str" cm="1">
        <f t="array" ref="M27">IF(IFERROR(MIN(_xlfn._xlws.FILTER(Tabla1[[#Data],[AcY]],Tabla1[[ID]:[ID]]=$A27,0)),"")=0,"",IFERROR(MIN(_xlfn._xlws.FILTER(Tabla1[[#Data],[AcY]],Tabla1[[ID]:[ID]]=$A27,0)),""))</f>
        <v/>
      </c>
      <c r="N27" t="str" cm="1">
        <f t="array" ref="N27">IFERROR(AVERAGE(_xlfn._xlws.FILTER(Tabla1[[#Data],[AcZ]],Tabla1[[ID]:[ID]]=$A27,0)),"")</f>
        <v/>
      </c>
      <c r="O27" t="str" cm="1">
        <f t="array" ref="O27">IF(IFERROR(MAX(_xlfn._xlws.FILTER(Tabla1[[#Data],[AcZ]],Tabla1[[ID]:[ID]]=$A27,0)),"")=0,"",IFERROR(MAX(_xlfn._xlws.FILTER(Tabla1[[#Data],[AcZ]],Tabla1[[ID]:[ID]]=$A27,0)),""))</f>
        <v/>
      </c>
      <c r="P27" t="str" cm="1">
        <f t="array" ref="P27">IF(IFERROR(MIN(_xlfn._xlws.FILTER(Tabla1[[#Data],[AcZ]],Tabla1[[ID]:[ID]]=$A27,0)),"")=0,"",IFERROR(MIN(_xlfn._xlws.FILTER(Tabla1[[#Data],[AcZ]],Tabla1[[ID]:[ID]]=$A27,0)),""))</f>
        <v/>
      </c>
      <c r="Q27" t="str" cm="1">
        <f t="array" ref="Q27">IFERROR(AVERAGE(_xlfn._xlws.FILTER(Tabla1[[#Data],[GyX]],Tabla1[[ID]:[ID]]=$A27,0)),"")</f>
        <v/>
      </c>
      <c r="R27" t="str" cm="1">
        <f t="array" ref="R27">IF(IFERROR(MAX(_xlfn._xlws.FILTER(Tabla1[[#Data],[GyX]],Tabla1[[ID]:[ID]]=$A27,0)),"")=0,"",IFERROR(MAX(_xlfn._xlws.FILTER(Tabla1[[#Data],[GyX]],Tabla1[[ID]:[ID]]=$A27,0)),""))</f>
        <v/>
      </c>
      <c r="S27" t="str" cm="1">
        <f t="array" ref="S27">IF(IFERROR(MIN(_xlfn._xlws.FILTER(Tabla1[[#Data],[GyX]],Tabla1[[ID]:[ID]]=$A27,0)),"")=0,"",IFERROR(MIN(_xlfn._xlws.FILTER(Tabla1[[#Data],[GyX]],Tabla1[[ID]:[ID]]=$A27,0)),""))</f>
        <v/>
      </c>
      <c r="T27" t="str" cm="1">
        <f t="array" ref="T27">IFERROR(AVERAGE(_xlfn._xlws.FILTER(Tabla1[[#Data],[GyY]],Tabla1[[ID]:[ID]]=$A27,0)),"")</f>
        <v/>
      </c>
      <c r="U27" t="str" cm="1">
        <f t="array" ref="U27">IF(IFERROR(MAX(_xlfn._xlws.FILTER(Tabla1[[#Data],[GyY]],Tabla1[[ID]:[ID]]=$A27,0)),"")=0,"",IFERROR(MAX(_xlfn._xlws.FILTER(Tabla1[[#Data],[GyY]],Tabla1[[ID]:[ID]]=$A27,0)),""))</f>
        <v/>
      </c>
      <c r="V27" t="str" cm="1">
        <f t="array" ref="V27">IF(IFERROR(MIN(_xlfn._xlws.FILTER(Tabla1[[#Data],[GyY]],Tabla1[[ID]:[ID]]=$A27,0)),"")=0,"",IFERROR(MIN(_xlfn._xlws.FILTER(Tabla1[[#Data],[GyY]],Tabla1[[ID]:[ID]]=$A27,0)),""))</f>
        <v/>
      </c>
      <c r="W27" t="str" cm="1">
        <f t="array" ref="W27">IFERROR(AVERAGE(_xlfn._xlws.FILTER(Tabla1[[#Data],[GyZ]],Tabla1[[ID]:[ID]]=$A27,0)),"")</f>
        <v/>
      </c>
      <c r="X27" t="str" cm="1">
        <f t="array" ref="X27">IF(IFERROR(MAX(_xlfn._xlws.FILTER(Tabla1[[#Data],[GyZ]],Tabla1[[ID]:[ID]]=$A27,0)),"")=0,"",IFERROR(MAX(_xlfn._xlws.FILTER(Tabla1[[#Data],[GyZ]],Tabla1[[ID]:[ID]]=$A27,0)),""))</f>
        <v/>
      </c>
      <c r="Y27" t="str" cm="1">
        <f t="array" ref="Y27">IF(IFERROR(MIN(_xlfn._xlws.FILTER(Tabla1[[#Data],[GyZ]],Tabla1[[ID]:[ID]]=$A27,0)),"")=0,"",IFERROR(MIN(_xlfn._xlws.FILTER(Tabla1[[#Data],[GyZ]],Tabla1[[ID]:[ID]]=$A27,0)),""))</f>
        <v/>
      </c>
      <c r="Z27" t="str" cm="1">
        <f t="array" ref="Z27">IF(ISNUMBER(A27),IF(ISNUMBER(MATCH(1,_xlfn._xlws.FILTER(Tabla1[[#Data],[Open]],Tabla1[[ID]:[ID]]=$A27,""))),1,0),"")</f>
        <v/>
      </c>
      <c r="AA27" t="str">
        <f t="shared" si="0"/>
        <v/>
      </c>
      <c r="AB27" t="str">
        <f t="shared" si="1"/>
        <v/>
      </c>
      <c r="AC27" t="str">
        <f t="shared" si="2"/>
        <v/>
      </c>
      <c r="AD27" t="str">
        <f t="shared" si="3"/>
        <v/>
      </c>
      <c r="AE27" t="str">
        <f t="shared" si="4"/>
        <v/>
      </c>
      <c r="AF27" t="str">
        <f t="shared" si="5"/>
        <v/>
      </c>
      <c r="AG27" t="str">
        <f t="shared" si="6"/>
        <v/>
      </c>
      <c r="AH27" t="str">
        <f t="shared" si="7"/>
        <v/>
      </c>
      <c r="AI27" t="str">
        <f t="shared" si="8"/>
        <v/>
      </c>
      <c r="AJ27" t="str">
        <f t="shared" si="9"/>
        <v/>
      </c>
    </row>
    <row r="28" spans="2:36" x14ac:dyDescent="0.35">
      <c r="B28" t="str" cm="1">
        <f t="array" ref="B28">IFERROR(AVERAGE(_xlfn._xlws.FILTER(Tabla1[[#Data],[Temperatura]],Tabla1[[ID]:[ID]]=$A28,0)),"")</f>
        <v/>
      </c>
      <c r="C28" t="str" cm="1">
        <f t="array" ref="C28">IF(IFERROR(MAX(_xlfn._xlws.FILTER(Tabla1[[#Data],[Temperatura]],Tabla1[[ID]:[ID]]=$A28,0)),"")=0,"",IFERROR(MAX(_xlfn._xlws.FILTER(Tabla1[[#Data],[Temperatura]],Tabla1[[ID]:[ID]]=$A28,0)),""))</f>
        <v/>
      </c>
      <c r="D28" t="str" cm="1">
        <f t="array" ref="D28">IF(IFERROR(MIN(_xlfn._xlws.FILTER(Tabla1[[#Data],[Temperatura]],Tabla1[[ID]:[ID]]=$A28,0)),"")=0,"",IFERROR(MIN(_xlfn._xlws.FILTER(Tabla1[[#Data],[Temperatura]],Tabla1[[ID]:[ID]]=$A28,0)),""))</f>
        <v/>
      </c>
      <c r="E28" t="str" cm="1">
        <f t="array" ref="E28">IFERROR(AVERAGE(_xlfn._xlws.FILTER(Tabla1[[#Data],[Humidade]],Tabla1[[ID]:[ID]]=$A28,0)),"")</f>
        <v/>
      </c>
      <c r="F28" t="str" cm="1">
        <f t="array" ref="F28">IF(IFERROR(MAX(_xlfn._xlws.FILTER(Tabla1[[#Data],[Humidade]],Tabla1[[ID]:[ID]]=$A28,0)),"")=0,"",IFERROR(MAX(_xlfn._xlws.FILTER(Tabla1[[#Data],[Humidade]],Tabla1[[ID]:[ID]]=$A28,0)),""))</f>
        <v/>
      </c>
      <c r="G28" t="str" cm="1">
        <f t="array" ref="G28">IF(IFERROR(MIN(_xlfn._xlws.FILTER(Tabla1[[#Data],[Humidade]],Tabla1[[ID]:[ID]]=$A28,0)),"")=0,"",IFERROR(MIN(_xlfn._xlws.FILTER(Tabla1[[#Data],[Humidade]],Tabla1[[ID]:[ID]]=$A28,0)),""))</f>
        <v/>
      </c>
      <c r="H28" t="str" cm="1">
        <f t="array" ref="H28">IFERROR(AVERAGE(_xlfn._xlws.FILTER(Tabla1[[#Data],[AcX]],Tabla1[[ID]:[ID]]=$A28,0)),"")</f>
        <v/>
      </c>
      <c r="I28" t="str" cm="1">
        <f t="array" ref="I28">IF(IFERROR(MAX(_xlfn._xlws.FILTER(Tabla1[[#Data],[AcX]],Tabla1[[ID]:[ID]]=$A28,0)),"")=0,"",IFERROR(MAX(_xlfn._xlws.FILTER(Tabla1[[#Data],[AcX]],Tabla1[[ID]:[ID]]=$A28,0)),""))</f>
        <v/>
      </c>
      <c r="J28" t="str" cm="1">
        <f t="array" ref="J28">IF(IFERROR(MIN(_xlfn._xlws.FILTER(Tabla1[[#Data],[AcX]],Tabla1[[ID]:[ID]]=$A28,0)),"")=0,"",IFERROR(MIN(_xlfn._xlws.FILTER(Tabla1[[#Data],[AcX]],Tabla1[[ID]:[ID]]=$A28,0)),""))</f>
        <v/>
      </c>
      <c r="K28" t="str" cm="1">
        <f t="array" ref="K28">IFERROR(AVERAGE(_xlfn._xlws.FILTER(Tabla1[[#Data],[AcY]],Tabla1[[ID]:[ID]]=$A28,0)),"")</f>
        <v/>
      </c>
      <c r="L28" t="str" cm="1">
        <f t="array" ref="L28">IF(IFERROR(MAX(_xlfn._xlws.FILTER(Tabla1[[#Data],[AcY]],Tabla1[[ID]:[ID]]=$A28,0)),"")=0,"",IFERROR(MAX(_xlfn._xlws.FILTER(Tabla1[[#Data],[AcY]],Tabla1[[ID]:[ID]]=$A28,0)),""))</f>
        <v/>
      </c>
      <c r="M28" t="str" cm="1">
        <f t="array" ref="M28">IF(IFERROR(MIN(_xlfn._xlws.FILTER(Tabla1[[#Data],[AcY]],Tabla1[[ID]:[ID]]=$A28,0)),"")=0,"",IFERROR(MIN(_xlfn._xlws.FILTER(Tabla1[[#Data],[AcY]],Tabla1[[ID]:[ID]]=$A28,0)),""))</f>
        <v/>
      </c>
      <c r="N28" t="str" cm="1">
        <f t="array" ref="N28">IFERROR(AVERAGE(_xlfn._xlws.FILTER(Tabla1[[#Data],[AcZ]],Tabla1[[ID]:[ID]]=$A28,0)),"")</f>
        <v/>
      </c>
      <c r="O28" t="str" cm="1">
        <f t="array" ref="O28">IF(IFERROR(MAX(_xlfn._xlws.FILTER(Tabla1[[#Data],[AcZ]],Tabla1[[ID]:[ID]]=$A28,0)),"")=0,"",IFERROR(MAX(_xlfn._xlws.FILTER(Tabla1[[#Data],[AcZ]],Tabla1[[ID]:[ID]]=$A28,0)),""))</f>
        <v/>
      </c>
      <c r="P28" t="str" cm="1">
        <f t="array" ref="P28">IF(IFERROR(MIN(_xlfn._xlws.FILTER(Tabla1[[#Data],[AcZ]],Tabla1[[ID]:[ID]]=$A28,0)),"")=0,"",IFERROR(MIN(_xlfn._xlws.FILTER(Tabla1[[#Data],[AcZ]],Tabla1[[ID]:[ID]]=$A28,0)),""))</f>
        <v/>
      </c>
      <c r="Q28" t="str" cm="1">
        <f t="array" ref="Q28">IFERROR(AVERAGE(_xlfn._xlws.FILTER(Tabla1[[#Data],[GyX]],Tabla1[[ID]:[ID]]=$A28,0)),"")</f>
        <v/>
      </c>
      <c r="R28" t="str" cm="1">
        <f t="array" ref="R28">IF(IFERROR(MAX(_xlfn._xlws.FILTER(Tabla1[[#Data],[GyX]],Tabla1[[ID]:[ID]]=$A28,0)),"")=0,"",IFERROR(MAX(_xlfn._xlws.FILTER(Tabla1[[#Data],[GyX]],Tabla1[[ID]:[ID]]=$A28,0)),""))</f>
        <v/>
      </c>
      <c r="S28" t="str" cm="1">
        <f t="array" ref="S28">IF(IFERROR(MIN(_xlfn._xlws.FILTER(Tabla1[[#Data],[GyX]],Tabla1[[ID]:[ID]]=$A28,0)),"")=0,"",IFERROR(MIN(_xlfn._xlws.FILTER(Tabla1[[#Data],[GyX]],Tabla1[[ID]:[ID]]=$A28,0)),""))</f>
        <v/>
      </c>
      <c r="T28" t="str" cm="1">
        <f t="array" ref="T28">IFERROR(AVERAGE(_xlfn._xlws.FILTER(Tabla1[[#Data],[GyY]],Tabla1[[ID]:[ID]]=$A28,0)),"")</f>
        <v/>
      </c>
      <c r="U28" t="str" cm="1">
        <f t="array" ref="U28">IF(IFERROR(MAX(_xlfn._xlws.FILTER(Tabla1[[#Data],[GyY]],Tabla1[[ID]:[ID]]=$A28,0)),"")=0,"",IFERROR(MAX(_xlfn._xlws.FILTER(Tabla1[[#Data],[GyY]],Tabla1[[ID]:[ID]]=$A28,0)),""))</f>
        <v/>
      </c>
      <c r="V28" t="str" cm="1">
        <f t="array" ref="V28">IF(IFERROR(MIN(_xlfn._xlws.FILTER(Tabla1[[#Data],[GyY]],Tabla1[[ID]:[ID]]=$A28,0)),"")=0,"",IFERROR(MIN(_xlfn._xlws.FILTER(Tabla1[[#Data],[GyY]],Tabla1[[ID]:[ID]]=$A28,0)),""))</f>
        <v/>
      </c>
      <c r="W28" t="str" cm="1">
        <f t="array" ref="W28">IFERROR(AVERAGE(_xlfn._xlws.FILTER(Tabla1[[#Data],[GyZ]],Tabla1[[ID]:[ID]]=$A28,0)),"")</f>
        <v/>
      </c>
      <c r="X28" t="str" cm="1">
        <f t="array" ref="X28">IF(IFERROR(MAX(_xlfn._xlws.FILTER(Tabla1[[#Data],[GyZ]],Tabla1[[ID]:[ID]]=$A28,0)),"")=0,"",IFERROR(MAX(_xlfn._xlws.FILTER(Tabla1[[#Data],[GyZ]],Tabla1[[ID]:[ID]]=$A28,0)),""))</f>
        <v/>
      </c>
      <c r="Y28" t="str" cm="1">
        <f t="array" ref="Y28">IF(IFERROR(MIN(_xlfn._xlws.FILTER(Tabla1[[#Data],[GyZ]],Tabla1[[ID]:[ID]]=$A28,0)),"")=0,"",IFERROR(MIN(_xlfn._xlws.FILTER(Tabla1[[#Data],[GyZ]],Tabla1[[ID]:[ID]]=$A28,0)),""))</f>
        <v/>
      </c>
      <c r="Z28" t="str" cm="1">
        <f t="array" ref="Z28">IF(ISNUMBER(A28),IF(ISNUMBER(MATCH(1,_xlfn._xlws.FILTER(Tabla1[[#Data],[Open]],Tabla1[[ID]:[ID]]=$A28,""))),1,0),"")</f>
        <v/>
      </c>
      <c r="AA28" t="str">
        <f t="shared" si="0"/>
        <v/>
      </c>
      <c r="AB28" t="str">
        <f t="shared" si="1"/>
        <v/>
      </c>
      <c r="AC28" t="str">
        <f t="shared" si="2"/>
        <v/>
      </c>
      <c r="AD28" t="str">
        <f t="shared" si="3"/>
        <v/>
      </c>
      <c r="AE28" t="str">
        <f t="shared" si="4"/>
        <v/>
      </c>
      <c r="AF28" t="str">
        <f t="shared" si="5"/>
        <v/>
      </c>
      <c r="AG28" t="str">
        <f t="shared" si="6"/>
        <v/>
      </c>
      <c r="AH28" t="str">
        <f t="shared" si="7"/>
        <v/>
      </c>
      <c r="AI28" t="str">
        <f t="shared" si="8"/>
        <v/>
      </c>
      <c r="AJ28" t="str">
        <f t="shared" si="9"/>
        <v/>
      </c>
    </row>
    <row r="29" spans="2:36" x14ac:dyDescent="0.35">
      <c r="B29" t="str" cm="1">
        <f t="array" ref="B29">IFERROR(AVERAGE(_xlfn._xlws.FILTER(Tabla1[[#Data],[Temperatura]],Tabla1[[ID]:[ID]]=$A29,0)),"")</f>
        <v/>
      </c>
      <c r="C29" t="str" cm="1">
        <f t="array" ref="C29">IF(IFERROR(MAX(_xlfn._xlws.FILTER(Tabla1[[#Data],[Temperatura]],Tabla1[[ID]:[ID]]=$A29,0)),"")=0,"",IFERROR(MAX(_xlfn._xlws.FILTER(Tabla1[[#Data],[Temperatura]],Tabla1[[ID]:[ID]]=$A29,0)),""))</f>
        <v/>
      </c>
      <c r="D29" t="str" cm="1">
        <f t="array" ref="D29">IF(IFERROR(MIN(_xlfn._xlws.FILTER(Tabla1[[#Data],[Temperatura]],Tabla1[[ID]:[ID]]=$A29,0)),"")=0,"",IFERROR(MIN(_xlfn._xlws.FILTER(Tabla1[[#Data],[Temperatura]],Tabla1[[ID]:[ID]]=$A29,0)),""))</f>
        <v/>
      </c>
      <c r="E29" t="str" cm="1">
        <f t="array" ref="E29">IFERROR(AVERAGE(_xlfn._xlws.FILTER(Tabla1[[#Data],[Humidade]],Tabla1[[ID]:[ID]]=$A29,0)),"")</f>
        <v/>
      </c>
      <c r="F29" t="str" cm="1">
        <f t="array" ref="F29">IF(IFERROR(MAX(_xlfn._xlws.FILTER(Tabla1[[#Data],[Humidade]],Tabla1[[ID]:[ID]]=$A29,0)),"")=0,"",IFERROR(MAX(_xlfn._xlws.FILTER(Tabla1[[#Data],[Humidade]],Tabla1[[ID]:[ID]]=$A29,0)),""))</f>
        <v/>
      </c>
      <c r="G29" t="str" cm="1">
        <f t="array" ref="G29">IF(IFERROR(MIN(_xlfn._xlws.FILTER(Tabla1[[#Data],[Humidade]],Tabla1[[ID]:[ID]]=$A29,0)),"")=0,"",IFERROR(MIN(_xlfn._xlws.FILTER(Tabla1[[#Data],[Humidade]],Tabla1[[ID]:[ID]]=$A29,0)),""))</f>
        <v/>
      </c>
      <c r="H29" t="str" cm="1">
        <f t="array" ref="H29">IFERROR(AVERAGE(_xlfn._xlws.FILTER(Tabla1[[#Data],[AcX]],Tabla1[[ID]:[ID]]=$A29,0)),"")</f>
        <v/>
      </c>
      <c r="I29" t="str" cm="1">
        <f t="array" ref="I29">IF(IFERROR(MAX(_xlfn._xlws.FILTER(Tabla1[[#Data],[AcX]],Tabla1[[ID]:[ID]]=$A29,0)),"")=0,"",IFERROR(MAX(_xlfn._xlws.FILTER(Tabla1[[#Data],[AcX]],Tabla1[[ID]:[ID]]=$A29,0)),""))</f>
        <v/>
      </c>
      <c r="J29" t="str" cm="1">
        <f t="array" ref="J29">IF(IFERROR(MIN(_xlfn._xlws.FILTER(Tabla1[[#Data],[AcX]],Tabla1[[ID]:[ID]]=$A29,0)),"")=0,"",IFERROR(MIN(_xlfn._xlws.FILTER(Tabla1[[#Data],[AcX]],Tabla1[[ID]:[ID]]=$A29,0)),""))</f>
        <v/>
      </c>
      <c r="K29" t="str" cm="1">
        <f t="array" ref="K29">IFERROR(AVERAGE(_xlfn._xlws.FILTER(Tabla1[[#Data],[AcY]],Tabla1[[ID]:[ID]]=$A29,0)),"")</f>
        <v/>
      </c>
      <c r="L29" t="str" cm="1">
        <f t="array" ref="L29">IF(IFERROR(MAX(_xlfn._xlws.FILTER(Tabla1[[#Data],[AcY]],Tabla1[[ID]:[ID]]=$A29,0)),"")=0,"",IFERROR(MAX(_xlfn._xlws.FILTER(Tabla1[[#Data],[AcY]],Tabla1[[ID]:[ID]]=$A29,0)),""))</f>
        <v/>
      </c>
      <c r="M29" t="str" cm="1">
        <f t="array" ref="M29">IF(IFERROR(MIN(_xlfn._xlws.FILTER(Tabla1[[#Data],[AcY]],Tabla1[[ID]:[ID]]=$A29,0)),"")=0,"",IFERROR(MIN(_xlfn._xlws.FILTER(Tabla1[[#Data],[AcY]],Tabla1[[ID]:[ID]]=$A29,0)),""))</f>
        <v/>
      </c>
      <c r="N29" t="str" cm="1">
        <f t="array" ref="N29">IFERROR(AVERAGE(_xlfn._xlws.FILTER(Tabla1[[#Data],[AcZ]],Tabla1[[ID]:[ID]]=$A29,0)),"")</f>
        <v/>
      </c>
      <c r="O29" t="str" cm="1">
        <f t="array" ref="O29">IF(IFERROR(MAX(_xlfn._xlws.FILTER(Tabla1[[#Data],[AcZ]],Tabla1[[ID]:[ID]]=$A29,0)),"")=0,"",IFERROR(MAX(_xlfn._xlws.FILTER(Tabla1[[#Data],[AcZ]],Tabla1[[ID]:[ID]]=$A29,0)),""))</f>
        <v/>
      </c>
      <c r="P29" t="str" cm="1">
        <f t="array" ref="P29">IF(IFERROR(MIN(_xlfn._xlws.FILTER(Tabla1[[#Data],[AcZ]],Tabla1[[ID]:[ID]]=$A29,0)),"")=0,"",IFERROR(MIN(_xlfn._xlws.FILTER(Tabla1[[#Data],[AcZ]],Tabla1[[ID]:[ID]]=$A29,0)),""))</f>
        <v/>
      </c>
      <c r="Q29" t="str" cm="1">
        <f t="array" ref="Q29">IFERROR(AVERAGE(_xlfn._xlws.FILTER(Tabla1[[#Data],[GyX]],Tabla1[[ID]:[ID]]=$A29,0)),"")</f>
        <v/>
      </c>
      <c r="R29" t="str" cm="1">
        <f t="array" ref="R29">IF(IFERROR(MAX(_xlfn._xlws.FILTER(Tabla1[[#Data],[GyX]],Tabla1[[ID]:[ID]]=$A29,0)),"")=0,"",IFERROR(MAX(_xlfn._xlws.FILTER(Tabla1[[#Data],[GyX]],Tabla1[[ID]:[ID]]=$A29,0)),""))</f>
        <v/>
      </c>
      <c r="S29" t="str" cm="1">
        <f t="array" ref="S29">IF(IFERROR(MIN(_xlfn._xlws.FILTER(Tabla1[[#Data],[GyX]],Tabla1[[ID]:[ID]]=$A29,0)),"")=0,"",IFERROR(MIN(_xlfn._xlws.FILTER(Tabla1[[#Data],[GyX]],Tabla1[[ID]:[ID]]=$A29,0)),""))</f>
        <v/>
      </c>
      <c r="T29" t="str" cm="1">
        <f t="array" ref="T29">IFERROR(AVERAGE(_xlfn._xlws.FILTER(Tabla1[[#Data],[GyY]],Tabla1[[ID]:[ID]]=$A29,0)),"")</f>
        <v/>
      </c>
      <c r="U29" t="str" cm="1">
        <f t="array" ref="U29">IF(IFERROR(MAX(_xlfn._xlws.FILTER(Tabla1[[#Data],[GyY]],Tabla1[[ID]:[ID]]=$A29,0)),"")=0,"",IFERROR(MAX(_xlfn._xlws.FILTER(Tabla1[[#Data],[GyY]],Tabla1[[ID]:[ID]]=$A29,0)),""))</f>
        <v/>
      </c>
      <c r="V29" t="str" cm="1">
        <f t="array" ref="V29">IF(IFERROR(MIN(_xlfn._xlws.FILTER(Tabla1[[#Data],[GyY]],Tabla1[[ID]:[ID]]=$A29,0)),"")=0,"",IFERROR(MIN(_xlfn._xlws.FILTER(Tabla1[[#Data],[GyY]],Tabla1[[ID]:[ID]]=$A29,0)),""))</f>
        <v/>
      </c>
      <c r="W29" t="str" cm="1">
        <f t="array" ref="W29">IFERROR(AVERAGE(_xlfn._xlws.FILTER(Tabla1[[#Data],[GyZ]],Tabla1[[ID]:[ID]]=$A29,0)),"")</f>
        <v/>
      </c>
      <c r="X29" t="str" cm="1">
        <f t="array" ref="X29">IF(IFERROR(MAX(_xlfn._xlws.FILTER(Tabla1[[#Data],[GyZ]],Tabla1[[ID]:[ID]]=$A29,0)),"")=0,"",IFERROR(MAX(_xlfn._xlws.FILTER(Tabla1[[#Data],[GyZ]],Tabla1[[ID]:[ID]]=$A29,0)),""))</f>
        <v/>
      </c>
      <c r="Y29" t="str" cm="1">
        <f t="array" ref="Y29">IF(IFERROR(MIN(_xlfn._xlws.FILTER(Tabla1[[#Data],[GyZ]],Tabla1[[ID]:[ID]]=$A29,0)),"")=0,"",IFERROR(MIN(_xlfn._xlws.FILTER(Tabla1[[#Data],[GyZ]],Tabla1[[ID]:[ID]]=$A29,0)),""))</f>
        <v/>
      </c>
      <c r="Z29" t="str" cm="1">
        <f t="array" ref="Z29">IF(ISNUMBER(A29),IF(ISNUMBER(MATCH(1,_xlfn._xlws.FILTER(Tabla1[[#Data],[Open]],Tabla1[[ID]:[ID]]=$A29,""))),1,0),"")</f>
        <v/>
      </c>
      <c r="AA29" t="str">
        <f t="shared" si="0"/>
        <v/>
      </c>
      <c r="AB29" t="str">
        <f t="shared" si="1"/>
        <v/>
      </c>
      <c r="AC29" t="str">
        <f t="shared" si="2"/>
        <v/>
      </c>
      <c r="AD29" t="str">
        <f t="shared" si="3"/>
        <v/>
      </c>
      <c r="AE29" t="str">
        <f t="shared" si="4"/>
        <v/>
      </c>
      <c r="AF29" t="str">
        <f t="shared" si="5"/>
        <v/>
      </c>
      <c r="AG29" t="str">
        <f t="shared" si="6"/>
        <v/>
      </c>
      <c r="AH29" t="str">
        <f t="shared" si="7"/>
        <v/>
      </c>
      <c r="AI29" t="str">
        <f t="shared" si="8"/>
        <v/>
      </c>
      <c r="AJ29" t="str">
        <f t="shared" si="9"/>
        <v/>
      </c>
    </row>
    <row r="30" spans="2:36" x14ac:dyDescent="0.35">
      <c r="B30" t="str" cm="1">
        <f t="array" ref="B30">IFERROR(AVERAGE(_xlfn._xlws.FILTER(Tabla1[[#Data],[Temperatura]],Tabla1[[ID]:[ID]]=$A30,0)),"")</f>
        <v/>
      </c>
      <c r="C30" t="str" cm="1">
        <f t="array" ref="C30">IF(IFERROR(MAX(_xlfn._xlws.FILTER(Tabla1[[#Data],[Temperatura]],Tabla1[[ID]:[ID]]=$A30,0)),"")=0,"",IFERROR(MAX(_xlfn._xlws.FILTER(Tabla1[[#Data],[Temperatura]],Tabla1[[ID]:[ID]]=$A30,0)),""))</f>
        <v/>
      </c>
      <c r="D30" t="str" cm="1">
        <f t="array" ref="D30">IF(IFERROR(MIN(_xlfn._xlws.FILTER(Tabla1[[#Data],[Temperatura]],Tabla1[[ID]:[ID]]=$A30,0)),"")=0,"",IFERROR(MIN(_xlfn._xlws.FILTER(Tabla1[[#Data],[Temperatura]],Tabla1[[ID]:[ID]]=$A30,0)),""))</f>
        <v/>
      </c>
      <c r="E30" t="str" cm="1">
        <f t="array" ref="E30">IFERROR(AVERAGE(_xlfn._xlws.FILTER(Tabla1[[#Data],[Humidade]],Tabla1[[ID]:[ID]]=$A30,0)),"")</f>
        <v/>
      </c>
      <c r="F30" t="str" cm="1">
        <f t="array" ref="F30">IF(IFERROR(MAX(_xlfn._xlws.FILTER(Tabla1[[#Data],[Humidade]],Tabla1[[ID]:[ID]]=$A30,0)),"")=0,"",IFERROR(MAX(_xlfn._xlws.FILTER(Tabla1[[#Data],[Humidade]],Tabla1[[ID]:[ID]]=$A30,0)),""))</f>
        <v/>
      </c>
      <c r="G30" t="str" cm="1">
        <f t="array" ref="G30">IF(IFERROR(MIN(_xlfn._xlws.FILTER(Tabla1[[#Data],[Humidade]],Tabla1[[ID]:[ID]]=$A30,0)),"")=0,"",IFERROR(MIN(_xlfn._xlws.FILTER(Tabla1[[#Data],[Humidade]],Tabla1[[ID]:[ID]]=$A30,0)),""))</f>
        <v/>
      </c>
      <c r="H30" t="str" cm="1">
        <f t="array" ref="H30">IFERROR(AVERAGE(_xlfn._xlws.FILTER(Tabla1[[#Data],[AcX]],Tabla1[[ID]:[ID]]=$A30,0)),"")</f>
        <v/>
      </c>
      <c r="I30" t="str" cm="1">
        <f t="array" ref="I30">IF(IFERROR(MAX(_xlfn._xlws.FILTER(Tabla1[[#Data],[AcX]],Tabla1[[ID]:[ID]]=$A30,0)),"")=0,"",IFERROR(MAX(_xlfn._xlws.FILTER(Tabla1[[#Data],[AcX]],Tabla1[[ID]:[ID]]=$A30,0)),""))</f>
        <v/>
      </c>
      <c r="J30" t="str" cm="1">
        <f t="array" ref="J30">IF(IFERROR(MIN(_xlfn._xlws.FILTER(Tabla1[[#Data],[AcX]],Tabla1[[ID]:[ID]]=$A30,0)),"")=0,"",IFERROR(MIN(_xlfn._xlws.FILTER(Tabla1[[#Data],[AcX]],Tabla1[[ID]:[ID]]=$A30,0)),""))</f>
        <v/>
      </c>
      <c r="K30" t="str" cm="1">
        <f t="array" ref="K30">IFERROR(AVERAGE(_xlfn._xlws.FILTER(Tabla1[[#Data],[AcY]],Tabla1[[ID]:[ID]]=$A30,0)),"")</f>
        <v/>
      </c>
      <c r="L30" t="str" cm="1">
        <f t="array" ref="L30">IF(IFERROR(MAX(_xlfn._xlws.FILTER(Tabla1[[#Data],[AcY]],Tabla1[[ID]:[ID]]=$A30,0)),"")=0,"",IFERROR(MAX(_xlfn._xlws.FILTER(Tabla1[[#Data],[AcY]],Tabla1[[ID]:[ID]]=$A30,0)),""))</f>
        <v/>
      </c>
      <c r="M30" t="str" cm="1">
        <f t="array" ref="M30">IF(IFERROR(MIN(_xlfn._xlws.FILTER(Tabla1[[#Data],[AcY]],Tabla1[[ID]:[ID]]=$A30,0)),"")=0,"",IFERROR(MIN(_xlfn._xlws.FILTER(Tabla1[[#Data],[AcY]],Tabla1[[ID]:[ID]]=$A30,0)),""))</f>
        <v/>
      </c>
      <c r="N30" t="str" cm="1">
        <f t="array" ref="N30">IFERROR(AVERAGE(_xlfn._xlws.FILTER(Tabla1[[#Data],[AcZ]],Tabla1[[ID]:[ID]]=$A30,0)),"")</f>
        <v/>
      </c>
      <c r="O30" t="str" cm="1">
        <f t="array" ref="O30">IF(IFERROR(MAX(_xlfn._xlws.FILTER(Tabla1[[#Data],[AcZ]],Tabla1[[ID]:[ID]]=$A30,0)),"")=0,"",IFERROR(MAX(_xlfn._xlws.FILTER(Tabla1[[#Data],[AcZ]],Tabla1[[ID]:[ID]]=$A30,0)),""))</f>
        <v/>
      </c>
      <c r="P30" t="str" cm="1">
        <f t="array" ref="P30">IF(IFERROR(MIN(_xlfn._xlws.FILTER(Tabla1[[#Data],[AcZ]],Tabla1[[ID]:[ID]]=$A30,0)),"")=0,"",IFERROR(MIN(_xlfn._xlws.FILTER(Tabla1[[#Data],[AcZ]],Tabla1[[ID]:[ID]]=$A30,0)),""))</f>
        <v/>
      </c>
      <c r="Q30" t="str" cm="1">
        <f t="array" ref="Q30">IFERROR(AVERAGE(_xlfn._xlws.FILTER(Tabla1[[#Data],[GyX]],Tabla1[[ID]:[ID]]=$A30,0)),"")</f>
        <v/>
      </c>
      <c r="R30" t="str" cm="1">
        <f t="array" ref="R30">IF(IFERROR(MAX(_xlfn._xlws.FILTER(Tabla1[[#Data],[GyX]],Tabla1[[ID]:[ID]]=$A30,0)),"")=0,"",IFERROR(MAX(_xlfn._xlws.FILTER(Tabla1[[#Data],[GyX]],Tabla1[[ID]:[ID]]=$A30,0)),""))</f>
        <v/>
      </c>
      <c r="S30" t="str" cm="1">
        <f t="array" ref="S30">IF(IFERROR(MIN(_xlfn._xlws.FILTER(Tabla1[[#Data],[GyX]],Tabla1[[ID]:[ID]]=$A30,0)),"")=0,"",IFERROR(MIN(_xlfn._xlws.FILTER(Tabla1[[#Data],[GyX]],Tabla1[[ID]:[ID]]=$A30,0)),""))</f>
        <v/>
      </c>
      <c r="T30" t="str" cm="1">
        <f t="array" ref="T30">IFERROR(AVERAGE(_xlfn._xlws.FILTER(Tabla1[[#Data],[GyY]],Tabla1[[ID]:[ID]]=$A30,0)),"")</f>
        <v/>
      </c>
      <c r="U30" t="str" cm="1">
        <f t="array" ref="U30">IF(IFERROR(MAX(_xlfn._xlws.FILTER(Tabla1[[#Data],[GyY]],Tabla1[[ID]:[ID]]=$A30,0)),"")=0,"",IFERROR(MAX(_xlfn._xlws.FILTER(Tabla1[[#Data],[GyY]],Tabla1[[ID]:[ID]]=$A30,0)),""))</f>
        <v/>
      </c>
      <c r="V30" t="str" cm="1">
        <f t="array" ref="V30">IF(IFERROR(MIN(_xlfn._xlws.FILTER(Tabla1[[#Data],[GyY]],Tabla1[[ID]:[ID]]=$A30,0)),"")=0,"",IFERROR(MIN(_xlfn._xlws.FILTER(Tabla1[[#Data],[GyY]],Tabla1[[ID]:[ID]]=$A30,0)),""))</f>
        <v/>
      </c>
      <c r="W30" t="str" cm="1">
        <f t="array" ref="W30">IFERROR(AVERAGE(_xlfn._xlws.FILTER(Tabla1[[#Data],[GyZ]],Tabla1[[ID]:[ID]]=$A30,0)),"")</f>
        <v/>
      </c>
      <c r="X30" t="str" cm="1">
        <f t="array" ref="X30">IF(IFERROR(MAX(_xlfn._xlws.FILTER(Tabla1[[#Data],[GyZ]],Tabla1[[ID]:[ID]]=$A30,0)),"")=0,"",IFERROR(MAX(_xlfn._xlws.FILTER(Tabla1[[#Data],[GyZ]],Tabla1[[ID]:[ID]]=$A30,0)),""))</f>
        <v/>
      </c>
      <c r="Y30" t="str" cm="1">
        <f t="array" ref="Y30">IF(IFERROR(MIN(_xlfn._xlws.FILTER(Tabla1[[#Data],[GyZ]],Tabla1[[ID]:[ID]]=$A30,0)),"")=0,"",IFERROR(MIN(_xlfn._xlws.FILTER(Tabla1[[#Data],[GyZ]],Tabla1[[ID]:[ID]]=$A30,0)),""))</f>
        <v/>
      </c>
      <c r="Z30" t="str" cm="1">
        <f t="array" ref="Z30">IF(ISNUMBER(A30),IF(ISNUMBER(MATCH(1,_xlfn._xlws.FILTER(Tabla1[[#Data],[Open]],Tabla1[[ID]:[ID]]=$A30,""))),1,0),"")</f>
        <v/>
      </c>
      <c r="AA30" t="str">
        <f t="shared" si="0"/>
        <v/>
      </c>
      <c r="AB30" t="str">
        <f t="shared" si="1"/>
        <v/>
      </c>
      <c r="AC30" t="str">
        <f t="shared" si="2"/>
        <v/>
      </c>
      <c r="AD30" t="str">
        <f t="shared" si="3"/>
        <v/>
      </c>
      <c r="AE30" t="str">
        <f t="shared" si="4"/>
        <v/>
      </c>
      <c r="AF30" t="str">
        <f t="shared" si="5"/>
        <v/>
      </c>
      <c r="AG30" t="str">
        <f t="shared" si="6"/>
        <v/>
      </c>
      <c r="AH30" t="str">
        <f t="shared" si="7"/>
        <v/>
      </c>
      <c r="AI30" t="str">
        <f t="shared" si="8"/>
        <v/>
      </c>
      <c r="AJ30" t="str">
        <f t="shared" si="9"/>
        <v/>
      </c>
    </row>
    <row r="31" spans="2:36" x14ac:dyDescent="0.35">
      <c r="B31" t="str" cm="1">
        <f t="array" ref="B31">IFERROR(AVERAGE(_xlfn._xlws.FILTER(Tabla1[[#Data],[Temperatura]],Tabla1[[ID]:[ID]]=$A31,0)),"")</f>
        <v/>
      </c>
      <c r="C31" t="str" cm="1">
        <f t="array" ref="C31">IF(IFERROR(MAX(_xlfn._xlws.FILTER(Tabla1[[#Data],[Temperatura]],Tabla1[[ID]:[ID]]=$A31,0)),"")=0,"",IFERROR(MAX(_xlfn._xlws.FILTER(Tabla1[[#Data],[Temperatura]],Tabla1[[ID]:[ID]]=$A31,0)),""))</f>
        <v/>
      </c>
      <c r="D31" t="str" cm="1">
        <f t="array" ref="D31">IF(IFERROR(MIN(_xlfn._xlws.FILTER(Tabla1[[#Data],[Temperatura]],Tabla1[[ID]:[ID]]=$A31,0)),"")=0,"",IFERROR(MIN(_xlfn._xlws.FILTER(Tabla1[[#Data],[Temperatura]],Tabla1[[ID]:[ID]]=$A31,0)),""))</f>
        <v/>
      </c>
      <c r="E31" t="str" cm="1">
        <f t="array" ref="E31">IFERROR(AVERAGE(_xlfn._xlws.FILTER(Tabla1[[#Data],[Humidade]],Tabla1[[ID]:[ID]]=$A31,0)),"")</f>
        <v/>
      </c>
      <c r="F31" t="str" cm="1">
        <f t="array" ref="F31">IF(IFERROR(MAX(_xlfn._xlws.FILTER(Tabla1[[#Data],[Humidade]],Tabla1[[ID]:[ID]]=$A31,0)),"")=0,"",IFERROR(MAX(_xlfn._xlws.FILTER(Tabla1[[#Data],[Humidade]],Tabla1[[ID]:[ID]]=$A31,0)),""))</f>
        <v/>
      </c>
      <c r="G31" t="str" cm="1">
        <f t="array" ref="G31">IF(IFERROR(MIN(_xlfn._xlws.FILTER(Tabla1[[#Data],[Humidade]],Tabla1[[ID]:[ID]]=$A31,0)),"")=0,"",IFERROR(MIN(_xlfn._xlws.FILTER(Tabla1[[#Data],[Humidade]],Tabla1[[ID]:[ID]]=$A31,0)),""))</f>
        <v/>
      </c>
      <c r="H31" t="str" cm="1">
        <f t="array" ref="H31">IFERROR(AVERAGE(_xlfn._xlws.FILTER(Tabla1[[#Data],[AcX]],Tabla1[[ID]:[ID]]=$A31,0)),"")</f>
        <v/>
      </c>
      <c r="I31" t="str" cm="1">
        <f t="array" ref="I31">IF(IFERROR(MAX(_xlfn._xlws.FILTER(Tabla1[[#Data],[AcX]],Tabla1[[ID]:[ID]]=$A31,0)),"")=0,"",IFERROR(MAX(_xlfn._xlws.FILTER(Tabla1[[#Data],[AcX]],Tabla1[[ID]:[ID]]=$A31,0)),""))</f>
        <v/>
      </c>
      <c r="J31" t="str" cm="1">
        <f t="array" ref="J31">IF(IFERROR(MIN(_xlfn._xlws.FILTER(Tabla1[[#Data],[AcX]],Tabla1[[ID]:[ID]]=$A31,0)),"")=0,"",IFERROR(MIN(_xlfn._xlws.FILTER(Tabla1[[#Data],[AcX]],Tabla1[[ID]:[ID]]=$A31,0)),""))</f>
        <v/>
      </c>
      <c r="K31" t="str" cm="1">
        <f t="array" ref="K31">IFERROR(AVERAGE(_xlfn._xlws.FILTER(Tabla1[[#Data],[AcY]],Tabla1[[ID]:[ID]]=$A31,0)),"")</f>
        <v/>
      </c>
      <c r="L31" t="str" cm="1">
        <f t="array" ref="L31">IF(IFERROR(MAX(_xlfn._xlws.FILTER(Tabla1[[#Data],[AcY]],Tabla1[[ID]:[ID]]=$A31,0)),"")=0,"",IFERROR(MAX(_xlfn._xlws.FILTER(Tabla1[[#Data],[AcY]],Tabla1[[ID]:[ID]]=$A31,0)),""))</f>
        <v/>
      </c>
      <c r="M31" t="str" cm="1">
        <f t="array" ref="M31">IF(IFERROR(MIN(_xlfn._xlws.FILTER(Tabla1[[#Data],[AcY]],Tabla1[[ID]:[ID]]=$A31,0)),"")=0,"",IFERROR(MIN(_xlfn._xlws.FILTER(Tabla1[[#Data],[AcY]],Tabla1[[ID]:[ID]]=$A31,0)),""))</f>
        <v/>
      </c>
      <c r="N31" t="str" cm="1">
        <f t="array" ref="N31">IFERROR(AVERAGE(_xlfn._xlws.FILTER(Tabla1[[#Data],[AcZ]],Tabla1[[ID]:[ID]]=$A31,0)),"")</f>
        <v/>
      </c>
      <c r="O31" t="str" cm="1">
        <f t="array" ref="O31">IF(IFERROR(MAX(_xlfn._xlws.FILTER(Tabla1[[#Data],[AcZ]],Tabla1[[ID]:[ID]]=$A31,0)),"")=0,"",IFERROR(MAX(_xlfn._xlws.FILTER(Tabla1[[#Data],[AcZ]],Tabla1[[ID]:[ID]]=$A31,0)),""))</f>
        <v/>
      </c>
      <c r="P31" t="str" cm="1">
        <f t="array" ref="P31">IF(IFERROR(MIN(_xlfn._xlws.FILTER(Tabla1[[#Data],[AcZ]],Tabla1[[ID]:[ID]]=$A31,0)),"")=0,"",IFERROR(MIN(_xlfn._xlws.FILTER(Tabla1[[#Data],[AcZ]],Tabla1[[ID]:[ID]]=$A31,0)),""))</f>
        <v/>
      </c>
      <c r="Q31" t="str" cm="1">
        <f t="array" ref="Q31">IFERROR(AVERAGE(_xlfn._xlws.FILTER(Tabla1[[#Data],[GyX]],Tabla1[[ID]:[ID]]=$A31,0)),"")</f>
        <v/>
      </c>
      <c r="R31" t="str" cm="1">
        <f t="array" ref="R31">IF(IFERROR(MAX(_xlfn._xlws.FILTER(Tabla1[[#Data],[GyX]],Tabla1[[ID]:[ID]]=$A31,0)),"")=0,"",IFERROR(MAX(_xlfn._xlws.FILTER(Tabla1[[#Data],[GyX]],Tabla1[[ID]:[ID]]=$A31,0)),""))</f>
        <v/>
      </c>
      <c r="S31" t="str" cm="1">
        <f t="array" ref="S31">IF(IFERROR(MIN(_xlfn._xlws.FILTER(Tabla1[[#Data],[GyX]],Tabla1[[ID]:[ID]]=$A31,0)),"")=0,"",IFERROR(MIN(_xlfn._xlws.FILTER(Tabla1[[#Data],[GyX]],Tabla1[[ID]:[ID]]=$A31,0)),""))</f>
        <v/>
      </c>
      <c r="T31" t="str" cm="1">
        <f t="array" ref="T31">IFERROR(AVERAGE(_xlfn._xlws.FILTER(Tabla1[[#Data],[GyY]],Tabla1[[ID]:[ID]]=$A31,0)),"")</f>
        <v/>
      </c>
      <c r="U31" t="str" cm="1">
        <f t="array" ref="U31">IF(IFERROR(MAX(_xlfn._xlws.FILTER(Tabla1[[#Data],[GyY]],Tabla1[[ID]:[ID]]=$A31,0)),"")=0,"",IFERROR(MAX(_xlfn._xlws.FILTER(Tabla1[[#Data],[GyY]],Tabla1[[ID]:[ID]]=$A31,0)),""))</f>
        <v/>
      </c>
      <c r="V31" t="str" cm="1">
        <f t="array" ref="V31">IF(IFERROR(MIN(_xlfn._xlws.FILTER(Tabla1[[#Data],[GyY]],Tabla1[[ID]:[ID]]=$A31,0)),"")=0,"",IFERROR(MIN(_xlfn._xlws.FILTER(Tabla1[[#Data],[GyY]],Tabla1[[ID]:[ID]]=$A31,0)),""))</f>
        <v/>
      </c>
      <c r="W31" t="str" cm="1">
        <f t="array" ref="W31">IFERROR(AVERAGE(_xlfn._xlws.FILTER(Tabla1[[#Data],[GyZ]],Tabla1[[ID]:[ID]]=$A31,0)),"")</f>
        <v/>
      </c>
      <c r="X31" t="str" cm="1">
        <f t="array" ref="X31">IF(IFERROR(MAX(_xlfn._xlws.FILTER(Tabla1[[#Data],[GyZ]],Tabla1[[ID]:[ID]]=$A31,0)),"")=0,"",IFERROR(MAX(_xlfn._xlws.FILTER(Tabla1[[#Data],[GyZ]],Tabla1[[ID]:[ID]]=$A31,0)),""))</f>
        <v/>
      </c>
      <c r="Y31" t="str" cm="1">
        <f t="array" ref="Y31">IF(IFERROR(MIN(_xlfn._xlws.FILTER(Tabla1[[#Data],[GyZ]],Tabla1[[ID]:[ID]]=$A31,0)),"")=0,"",IFERROR(MIN(_xlfn._xlws.FILTER(Tabla1[[#Data],[GyZ]],Tabla1[[ID]:[ID]]=$A31,0)),""))</f>
        <v/>
      </c>
      <c r="Z31" t="str" cm="1">
        <f t="array" ref="Z31">IF(ISNUMBER(A31),IF(ISNUMBER(MATCH(1,_xlfn._xlws.FILTER(Tabla1[[#Data],[Open]],Tabla1[[ID]:[ID]]=$A31,""))),1,0),"")</f>
        <v/>
      </c>
      <c r="AA31" t="str">
        <f t="shared" si="0"/>
        <v/>
      </c>
      <c r="AB31" t="str">
        <f t="shared" si="1"/>
        <v/>
      </c>
      <c r="AC31" t="str">
        <f t="shared" si="2"/>
        <v/>
      </c>
      <c r="AD31" t="str">
        <f t="shared" si="3"/>
        <v/>
      </c>
      <c r="AE31" t="str">
        <f t="shared" si="4"/>
        <v/>
      </c>
      <c r="AF31" t="str">
        <f t="shared" si="5"/>
        <v/>
      </c>
      <c r="AG31" t="str">
        <f t="shared" si="6"/>
        <v/>
      </c>
      <c r="AH31" t="str">
        <f t="shared" si="7"/>
        <v/>
      </c>
      <c r="AI31" t="str">
        <f t="shared" si="8"/>
        <v/>
      </c>
      <c r="AJ31" t="str">
        <f t="shared" si="9"/>
        <v/>
      </c>
    </row>
    <row r="32" spans="2:36" x14ac:dyDescent="0.35">
      <c r="B32" t="str" cm="1">
        <f t="array" ref="B32">IFERROR(AVERAGE(_xlfn._xlws.FILTER(Tabla1[[#Data],[Temperatura]],Tabla1[[ID]:[ID]]=$A32,0)),"")</f>
        <v/>
      </c>
      <c r="C32" t="str" cm="1">
        <f t="array" ref="C32">IF(IFERROR(MAX(_xlfn._xlws.FILTER(Tabla1[[#Data],[Temperatura]],Tabla1[[ID]:[ID]]=$A32,0)),"")=0,"",IFERROR(MAX(_xlfn._xlws.FILTER(Tabla1[[#Data],[Temperatura]],Tabla1[[ID]:[ID]]=$A32,0)),""))</f>
        <v/>
      </c>
      <c r="D32" t="str" cm="1">
        <f t="array" ref="D32">IF(IFERROR(MIN(_xlfn._xlws.FILTER(Tabla1[[#Data],[Temperatura]],Tabla1[[ID]:[ID]]=$A32,0)),"")=0,"",IFERROR(MIN(_xlfn._xlws.FILTER(Tabla1[[#Data],[Temperatura]],Tabla1[[ID]:[ID]]=$A32,0)),""))</f>
        <v/>
      </c>
      <c r="E32" t="str" cm="1">
        <f t="array" ref="E32">IFERROR(AVERAGE(_xlfn._xlws.FILTER(Tabla1[[#Data],[Humidade]],Tabla1[[ID]:[ID]]=$A32,0)),"")</f>
        <v/>
      </c>
      <c r="F32" t="str" cm="1">
        <f t="array" ref="F32">IF(IFERROR(MAX(_xlfn._xlws.FILTER(Tabla1[[#Data],[Humidade]],Tabla1[[ID]:[ID]]=$A32,0)),"")=0,"",IFERROR(MAX(_xlfn._xlws.FILTER(Tabla1[[#Data],[Humidade]],Tabla1[[ID]:[ID]]=$A32,0)),""))</f>
        <v/>
      </c>
      <c r="G32" t="str" cm="1">
        <f t="array" ref="G32">IF(IFERROR(MIN(_xlfn._xlws.FILTER(Tabla1[[#Data],[Humidade]],Tabla1[[ID]:[ID]]=$A32,0)),"")=0,"",IFERROR(MIN(_xlfn._xlws.FILTER(Tabla1[[#Data],[Humidade]],Tabla1[[ID]:[ID]]=$A32,0)),""))</f>
        <v/>
      </c>
      <c r="H32" t="str" cm="1">
        <f t="array" ref="H32">IFERROR(AVERAGE(_xlfn._xlws.FILTER(Tabla1[[#Data],[AcX]],Tabla1[[ID]:[ID]]=$A32,0)),"")</f>
        <v/>
      </c>
      <c r="I32" t="str" cm="1">
        <f t="array" ref="I32">IF(IFERROR(MAX(_xlfn._xlws.FILTER(Tabla1[[#Data],[AcX]],Tabla1[[ID]:[ID]]=$A32,0)),"")=0,"",IFERROR(MAX(_xlfn._xlws.FILTER(Tabla1[[#Data],[AcX]],Tabla1[[ID]:[ID]]=$A32,0)),""))</f>
        <v/>
      </c>
      <c r="J32" t="str" cm="1">
        <f t="array" ref="J32">IF(IFERROR(MIN(_xlfn._xlws.FILTER(Tabla1[[#Data],[AcX]],Tabla1[[ID]:[ID]]=$A32,0)),"")=0,"",IFERROR(MIN(_xlfn._xlws.FILTER(Tabla1[[#Data],[AcX]],Tabla1[[ID]:[ID]]=$A32,0)),""))</f>
        <v/>
      </c>
      <c r="K32" t="str" cm="1">
        <f t="array" ref="K32">IFERROR(AVERAGE(_xlfn._xlws.FILTER(Tabla1[[#Data],[AcY]],Tabla1[[ID]:[ID]]=$A32,0)),"")</f>
        <v/>
      </c>
      <c r="L32" t="str" cm="1">
        <f t="array" ref="L32">IF(IFERROR(MAX(_xlfn._xlws.FILTER(Tabla1[[#Data],[AcY]],Tabla1[[ID]:[ID]]=$A32,0)),"")=0,"",IFERROR(MAX(_xlfn._xlws.FILTER(Tabla1[[#Data],[AcY]],Tabla1[[ID]:[ID]]=$A32,0)),""))</f>
        <v/>
      </c>
      <c r="M32" t="str" cm="1">
        <f t="array" ref="M32">IF(IFERROR(MIN(_xlfn._xlws.FILTER(Tabla1[[#Data],[AcY]],Tabla1[[ID]:[ID]]=$A32,0)),"")=0,"",IFERROR(MIN(_xlfn._xlws.FILTER(Tabla1[[#Data],[AcY]],Tabla1[[ID]:[ID]]=$A32,0)),""))</f>
        <v/>
      </c>
      <c r="N32" t="str" cm="1">
        <f t="array" ref="N32">IFERROR(AVERAGE(_xlfn._xlws.FILTER(Tabla1[[#Data],[AcZ]],Tabla1[[ID]:[ID]]=$A32,0)),"")</f>
        <v/>
      </c>
      <c r="O32" t="str" cm="1">
        <f t="array" ref="O32">IF(IFERROR(MAX(_xlfn._xlws.FILTER(Tabla1[[#Data],[AcZ]],Tabla1[[ID]:[ID]]=$A32,0)),"")=0,"",IFERROR(MAX(_xlfn._xlws.FILTER(Tabla1[[#Data],[AcZ]],Tabla1[[ID]:[ID]]=$A32,0)),""))</f>
        <v/>
      </c>
      <c r="P32" t="str" cm="1">
        <f t="array" ref="P32">IF(IFERROR(MIN(_xlfn._xlws.FILTER(Tabla1[[#Data],[AcZ]],Tabla1[[ID]:[ID]]=$A32,0)),"")=0,"",IFERROR(MIN(_xlfn._xlws.FILTER(Tabla1[[#Data],[AcZ]],Tabla1[[ID]:[ID]]=$A32,0)),""))</f>
        <v/>
      </c>
      <c r="Q32" t="str" cm="1">
        <f t="array" ref="Q32">IFERROR(AVERAGE(_xlfn._xlws.FILTER(Tabla1[[#Data],[GyX]],Tabla1[[ID]:[ID]]=$A32,0)),"")</f>
        <v/>
      </c>
      <c r="R32" t="str" cm="1">
        <f t="array" ref="R32">IF(IFERROR(MAX(_xlfn._xlws.FILTER(Tabla1[[#Data],[GyX]],Tabla1[[ID]:[ID]]=$A32,0)),"")=0,"",IFERROR(MAX(_xlfn._xlws.FILTER(Tabla1[[#Data],[GyX]],Tabla1[[ID]:[ID]]=$A32,0)),""))</f>
        <v/>
      </c>
      <c r="S32" t="str" cm="1">
        <f t="array" ref="S32">IF(IFERROR(MIN(_xlfn._xlws.FILTER(Tabla1[[#Data],[GyX]],Tabla1[[ID]:[ID]]=$A32,0)),"")=0,"",IFERROR(MIN(_xlfn._xlws.FILTER(Tabla1[[#Data],[GyX]],Tabla1[[ID]:[ID]]=$A32,0)),""))</f>
        <v/>
      </c>
      <c r="T32" t="str" cm="1">
        <f t="array" ref="T32">IFERROR(AVERAGE(_xlfn._xlws.FILTER(Tabla1[[#Data],[GyY]],Tabla1[[ID]:[ID]]=$A32,0)),"")</f>
        <v/>
      </c>
      <c r="U32" t="str" cm="1">
        <f t="array" ref="U32">IF(IFERROR(MAX(_xlfn._xlws.FILTER(Tabla1[[#Data],[GyY]],Tabla1[[ID]:[ID]]=$A32,0)),"")=0,"",IFERROR(MAX(_xlfn._xlws.FILTER(Tabla1[[#Data],[GyY]],Tabla1[[ID]:[ID]]=$A32,0)),""))</f>
        <v/>
      </c>
      <c r="V32" t="str" cm="1">
        <f t="array" ref="V32">IF(IFERROR(MIN(_xlfn._xlws.FILTER(Tabla1[[#Data],[GyY]],Tabla1[[ID]:[ID]]=$A32,0)),"")=0,"",IFERROR(MIN(_xlfn._xlws.FILTER(Tabla1[[#Data],[GyY]],Tabla1[[ID]:[ID]]=$A32,0)),""))</f>
        <v/>
      </c>
      <c r="W32" t="str" cm="1">
        <f t="array" ref="W32">IFERROR(AVERAGE(_xlfn._xlws.FILTER(Tabla1[[#Data],[GyZ]],Tabla1[[ID]:[ID]]=$A32,0)),"")</f>
        <v/>
      </c>
      <c r="X32" t="str" cm="1">
        <f t="array" ref="X32">IF(IFERROR(MAX(_xlfn._xlws.FILTER(Tabla1[[#Data],[GyZ]],Tabla1[[ID]:[ID]]=$A32,0)),"")=0,"",IFERROR(MAX(_xlfn._xlws.FILTER(Tabla1[[#Data],[GyZ]],Tabla1[[ID]:[ID]]=$A32,0)),""))</f>
        <v/>
      </c>
      <c r="Y32" t="str" cm="1">
        <f t="array" ref="Y32">IF(IFERROR(MIN(_xlfn._xlws.FILTER(Tabla1[[#Data],[GyZ]],Tabla1[[ID]:[ID]]=$A32,0)),"")=0,"",IFERROR(MIN(_xlfn._xlws.FILTER(Tabla1[[#Data],[GyZ]],Tabla1[[ID]:[ID]]=$A32,0)),""))</f>
        <v/>
      </c>
      <c r="Z32" t="str" cm="1">
        <f t="array" ref="Z32">IF(ISNUMBER(A32),IF(ISNUMBER(MATCH(1,_xlfn._xlws.FILTER(Tabla1[[#Data],[Open]],Tabla1[[ID]:[ID]]=$A32,""))),1,0),"")</f>
        <v/>
      </c>
      <c r="AA32" t="str">
        <f t="shared" si="0"/>
        <v/>
      </c>
      <c r="AB32" t="str">
        <f t="shared" si="1"/>
        <v/>
      </c>
      <c r="AC32" t="str">
        <f t="shared" si="2"/>
        <v/>
      </c>
      <c r="AD32" t="str">
        <f t="shared" si="3"/>
        <v/>
      </c>
      <c r="AE32" t="str">
        <f t="shared" si="4"/>
        <v/>
      </c>
      <c r="AF32" t="str">
        <f t="shared" si="5"/>
        <v/>
      </c>
      <c r="AG32" t="str">
        <f t="shared" si="6"/>
        <v/>
      </c>
      <c r="AH32" t="str">
        <f t="shared" si="7"/>
        <v/>
      </c>
      <c r="AI32" t="str">
        <f t="shared" si="8"/>
        <v/>
      </c>
      <c r="AJ32" t="str">
        <f t="shared" si="9"/>
        <v/>
      </c>
    </row>
    <row r="33" spans="2:36" x14ac:dyDescent="0.35">
      <c r="B33" t="str" cm="1">
        <f t="array" ref="B33">IFERROR(AVERAGE(_xlfn._xlws.FILTER(Tabla1[[#Data],[Temperatura]],Tabla1[[ID]:[ID]]=$A33,0)),"")</f>
        <v/>
      </c>
      <c r="C33" t="str" cm="1">
        <f t="array" ref="C33">IF(IFERROR(MAX(_xlfn._xlws.FILTER(Tabla1[[#Data],[Temperatura]],Tabla1[[ID]:[ID]]=$A33,0)),"")=0,"",IFERROR(MAX(_xlfn._xlws.FILTER(Tabla1[[#Data],[Temperatura]],Tabla1[[ID]:[ID]]=$A33,0)),""))</f>
        <v/>
      </c>
      <c r="D33" t="str" cm="1">
        <f t="array" ref="D33">IF(IFERROR(MIN(_xlfn._xlws.FILTER(Tabla1[[#Data],[Temperatura]],Tabla1[[ID]:[ID]]=$A33,0)),"")=0,"",IFERROR(MIN(_xlfn._xlws.FILTER(Tabla1[[#Data],[Temperatura]],Tabla1[[ID]:[ID]]=$A33,0)),""))</f>
        <v/>
      </c>
      <c r="E33" t="str" cm="1">
        <f t="array" ref="E33">IFERROR(AVERAGE(_xlfn._xlws.FILTER(Tabla1[[#Data],[Humidade]],Tabla1[[ID]:[ID]]=$A33,0)),"")</f>
        <v/>
      </c>
      <c r="F33" t="str" cm="1">
        <f t="array" ref="F33">IF(IFERROR(MAX(_xlfn._xlws.FILTER(Tabla1[[#Data],[Humidade]],Tabla1[[ID]:[ID]]=$A33,0)),"")=0,"",IFERROR(MAX(_xlfn._xlws.FILTER(Tabla1[[#Data],[Humidade]],Tabla1[[ID]:[ID]]=$A33,0)),""))</f>
        <v/>
      </c>
      <c r="G33" t="str" cm="1">
        <f t="array" ref="G33">IF(IFERROR(MIN(_xlfn._xlws.FILTER(Tabla1[[#Data],[Humidade]],Tabla1[[ID]:[ID]]=$A33,0)),"")=0,"",IFERROR(MIN(_xlfn._xlws.FILTER(Tabla1[[#Data],[Humidade]],Tabla1[[ID]:[ID]]=$A33,0)),""))</f>
        <v/>
      </c>
      <c r="H33" t="str" cm="1">
        <f t="array" ref="H33">IFERROR(AVERAGE(_xlfn._xlws.FILTER(Tabla1[[#Data],[AcX]],Tabla1[[ID]:[ID]]=$A33,0)),"")</f>
        <v/>
      </c>
      <c r="I33" t="str" cm="1">
        <f t="array" ref="I33">IF(IFERROR(MAX(_xlfn._xlws.FILTER(Tabla1[[#Data],[AcX]],Tabla1[[ID]:[ID]]=$A33,0)),"")=0,"",IFERROR(MAX(_xlfn._xlws.FILTER(Tabla1[[#Data],[AcX]],Tabla1[[ID]:[ID]]=$A33,0)),""))</f>
        <v/>
      </c>
      <c r="J33" t="str" cm="1">
        <f t="array" ref="J33">IF(IFERROR(MIN(_xlfn._xlws.FILTER(Tabla1[[#Data],[AcX]],Tabla1[[ID]:[ID]]=$A33,0)),"")=0,"",IFERROR(MIN(_xlfn._xlws.FILTER(Tabla1[[#Data],[AcX]],Tabla1[[ID]:[ID]]=$A33,0)),""))</f>
        <v/>
      </c>
      <c r="K33" t="str" cm="1">
        <f t="array" ref="K33">IFERROR(AVERAGE(_xlfn._xlws.FILTER(Tabla1[[#Data],[AcY]],Tabla1[[ID]:[ID]]=$A33,0)),"")</f>
        <v/>
      </c>
      <c r="L33" t="str" cm="1">
        <f t="array" ref="L33">IF(IFERROR(MAX(_xlfn._xlws.FILTER(Tabla1[[#Data],[AcY]],Tabla1[[ID]:[ID]]=$A33,0)),"")=0,"",IFERROR(MAX(_xlfn._xlws.FILTER(Tabla1[[#Data],[AcY]],Tabla1[[ID]:[ID]]=$A33,0)),""))</f>
        <v/>
      </c>
      <c r="M33" t="str" cm="1">
        <f t="array" ref="M33">IF(IFERROR(MIN(_xlfn._xlws.FILTER(Tabla1[[#Data],[AcY]],Tabla1[[ID]:[ID]]=$A33,0)),"")=0,"",IFERROR(MIN(_xlfn._xlws.FILTER(Tabla1[[#Data],[AcY]],Tabla1[[ID]:[ID]]=$A33,0)),""))</f>
        <v/>
      </c>
      <c r="N33" t="str" cm="1">
        <f t="array" ref="N33">IFERROR(AVERAGE(_xlfn._xlws.FILTER(Tabla1[[#Data],[AcZ]],Tabla1[[ID]:[ID]]=$A33,0)),"")</f>
        <v/>
      </c>
      <c r="O33" t="str" cm="1">
        <f t="array" ref="O33">IF(IFERROR(MAX(_xlfn._xlws.FILTER(Tabla1[[#Data],[AcZ]],Tabla1[[ID]:[ID]]=$A33,0)),"")=0,"",IFERROR(MAX(_xlfn._xlws.FILTER(Tabla1[[#Data],[AcZ]],Tabla1[[ID]:[ID]]=$A33,0)),""))</f>
        <v/>
      </c>
      <c r="P33" t="str" cm="1">
        <f t="array" ref="P33">IF(IFERROR(MIN(_xlfn._xlws.FILTER(Tabla1[[#Data],[AcZ]],Tabla1[[ID]:[ID]]=$A33,0)),"")=0,"",IFERROR(MIN(_xlfn._xlws.FILTER(Tabla1[[#Data],[AcZ]],Tabla1[[ID]:[ID]]=$A33,0)),""))</f>
        <v/>
      </c>
      <c r="Q33" t="str" cm="1">
        <f t="array" ref="Q33">IFERROR(AVERAGE(_xlfn._xlws.FILTER(Tabla1[[#Data],[GyX]],Tabla1[[ID]:[ID]]=$A33,0)),"")</f>
        <v/>
      </c>
      <c r="R33" t="str" cm="1">
        <f t="array" ref="R33">IF(IFERROR(MAX(_xlfn._xlws.FILTER(Tabla1[[#Data],[GyX]],Tabla1[[ID]:[ID]]=$A33,0)),"")=0,"",IFERROR(MAX(_xlfn._xlws.FILTER(Tabla1[[#Data],[GyX]],Tabla1[[ID]:[ID]]=$A33,0)),""))</f>
        <v/>
      </c>
      <c r="S33" t="str" cm="1">
        <f t="array" ref="S33">IF(IFERROR(MIN(_xlfn._xlws.FILTER(Tabla1[[#Data],[GyX]],Tabla1[[ID]:[ID]]=$A33,0)),"")=0,"",IFERROR(MIN(_xlfn._xlws.FILTER(Tabla1[[#Data],[GyX]],Tabla1[[ID]:[ID]]=$A33,0)),""))</f>
        <v/>
      </c>
      <c r="T33" t="str" cm="1">
        <f t="array" ref="T33">IFERROR(AVERAGE(_xlfn._xlws.FILTER(Tabla1[[#Data],[GyY]],Tabla1[[ID]:[ID]]=$A33,0)),"")</f>
        <v/>
      </c>
      <c r="U33" t="str" cm="1">
        <f t="array" ref="U33">IF(IFERROR(MAX(_xlfn._xlws.FILTER(Tabla1[[#Data],[GyY]],Tabla1[[ID]:[ID]]=$A33,0)),"")=0,"",IFERROR(MAX(_xlfn._xlws.FILTER(Tabla1[[#Data],[GyY]],Tabla1[[ID]:[ID]]=$A33,0)),""))</f>
        <v/>
      </c>
      <c r="V33" t="str" cm="1">
        <f t="array" ref="V33">IF(IFERROR(MIN(_xlfn._xlws.FILTER(Tabla1[[#Data],[GyY]],Tabla1[[ID]:[ID]]=$A33,0)),"")=0,"",IFERROR(MIN(_xlfn._xlws.FILTER(Tabla1[[#Data],[GyY]],Tabla1[[ID]:[ID]]=$A33,0)),""))</f>
        <v/>
      </c>
      <c r="W33" t="str" cm="1">
        <f t="array" ref="W33">IFERROR(AVERAGE(_xlfn._xlws.FILTER(Tabla1[[#Data],[GyZ]],Tabla1[[ID]:[ID]]=$A33,0)),"")</f>
        <v/>
      </c>
      <c r="X33" t="str" cm="1">
        <f t="array" ref="X33">IF(IFERROR(MAX(_xlfn._xlws.FILTER(Tabla1[[#Data],[GyZ]],Tabla1[[ID]:[ID]]=$A33,0)),"")=0,"",IFERROR(MAX(_xlfn._xlws.FILTER(Tabla1[[#Data],[GyZ]],Tabla1[[ID]:[ID]]=$A33,0)),""))</f>
        <v/>
      </c>
      <c r="Y33" t="str" cm="1">
        <f t="array" ref="Y33">IF(IFERROR(MIN(_xlfn._xlws.FILTER(Tabla1[[#Data],[GyZ]],Tabla1[[ID]:[ID]]=$A33,0)),"")=0,"",IFERROR(MIN(_xlfn._xlws.FILTER(Tabla1[[#Data],[GyZ]],Tabla1[[ID]:[ID]]=$A33,0)),""))</f>
        <v/>
      </c>
      <c r="Z33" t="str" cm="1">
        <f t="array" ref="Z33">IF(ISNUMBER(A33),IF(ISNUMBER(MATCH(1,_xlfn._xlws.FILTER(Tabla1[[#Data],[Open]],Tabla1[[ID]:[ID]]=$A33,""))),1,0),"")</f>
        <v/>
      </c>
      <c r="AA33" t="str">
        <f t="shared" si="0"/>
        <v/>
      </c>
      <c r="AB33" t="str">
        <f t="shared" si="1"/>
        <v/>
      </c>
      <c r="AC33" t="str">
        <f t="shared" si="2"/>
        <v/>
      </c>
      <c r="AD33" t="str">
        <f t="shared" si="3"/>
        <v/>
      </c>
      <c r="AE33" t="str">
        <f t="shared" si="4"/>
        <v/>
      </c>
      <c r="AF33" t="str">
        <f t="shared" si="5"/>
        <v/>
      </c>
      <c r="AG33" t="str">
        <f t="shared" si="6"/>
        <v/>
      </c>
      <c r="AH33" t="str">
        <f t="shared" si="7"/>
        <v/>
      </c>
      <c r="AI33" t="str">
        <f t="shared" si="8"/>
        <v/>
      </c>
      <c r="AJ33" t="str">
        <f t="shared" si="9"/>
        <v/>
      </c>
    </row>
    <row r="34" spans="2:36" x14ac:dyDescent="0.35">
      <c r="B34" t="str" cm="1">
        <f t="array" ref="B34">IFERROR(AVERAGE(_xlfn._xlws.FILTER(Tabla1[[#Data],[Temperatura]],Tabla1[[ID]:[ID]]=$A34,0)),"")</f>
        <v/>
      </c>
      <c r="C34" t="str" cm="1">
        <f t="array" ref="C34">IF(IFERROR(MAX(_xlfn._xlws.FILTER(Tabla1[[#Data],[Temperatura]],Tabla1[[ID]:[ID]]=$A34,0)),"")=0,"",IFERROR(MAX(_xlfn._xlws.FILTER(Tabla1[[#Data],[Temperatura]],Tabla1[[ID]:[ID]]=$A34,0)),""))</f>
        <v/>
      </c>
      <c r="D34" t="str" cm="1">
        <f t="array" ref="D34">IF(IFERROR(MIN(_xlfn._xlws.FILTER(Tabla1[[#Data],[Temperatura]],Tabla1[[ID]:[ID]]=$A34,0)),"")=0,"",IFERROR(MIN(_xlfn._xlws.FILTER(Tabla1[[#Data],[Temperatura]],Tabla1[[ID]:[ID]]=$A34,0)),""))</f>
        <v/>
      </c>
      <c r="E34" t="str" cm="1">
        <f t="array" ref="E34">IFERROR(AVERAGE(_xlfn._xlws.FILTER(Tabla1[[#Data],[Humidade]],Tabla1[[ID]:[ID]]=$A34,0)),"")</f>
        <v/>
      </c>
      <c r="F34" t="str" cm="1">
        <f t="array" ref="F34">IF(IFERROR(MAX(_xlfn._xlws.FILTER(Tabla1[[#Data],[Humidade]],Tabla1[[ID]:[ID]]=$A34,0)),"")=0,"",IFERROR(MAX(_xlfn._xlws.FILTER(Tabla1[[#Data],[Humidade]],Tabla1[[ID]:[ID]]=$A34,0)),""))</f>
        <v/>
      </c>
      <c r="G34" t="str" cm="1">
        <f t="array" ref="G34">IF(IFERROR(MIN(_xlfn._xlws.FILTER(Tabla1[[#Data],[Humidade]],Tabla1[[ID]:[ID]]=$A34,0)),"")=0,"",IFERROR(MIN(_xlfn._xlws.FILTER(Tabla1[[#Data],[Humidade]],Tabla1[[ID]:[ID]]=$A34,0)),""))</f>
        <v/>
      </c>
      <c r="H34" t="str" cm="1">
        <f t="array" ref="H34">IFERROR(AVERAGE(_xlfn._xlws.FILTER(Tabla1[[#Data],[AcX]],Tabla1[[ID]:[ID]]=$A34,0)),"")</f>
        <v/>
      </c>
      <c r="I34" t="str" cm="1">
        <f t="array" ref="I34">IF(IFERROR(MAX(_xlfn._xlws.FILTER(Tabla1[[#Data],[AcX]],Tabla1[[ID]:[ID]]=$A34,0)),"")=0,"",IFERROR(MAX(_xlfn._xlws.FILTER(Tabla1[[#Data],[AcX]],Tabla1[[ID]:[ID]]=$A34,0)),""))</f>
        <v/>
      </c>
      <c r="J34" t="str" cm="1">
        <f t="array" ref="J34">IF(IFERROR(MIN(_xlfn._xlws.FILTER(Tabla1[[#Data],[AcX]],Tabla1[[ID]:[ID]]=$A34,0)),"")=0,"",IFERROR(MIN(_xlfn._xlws.FILTER(Tabla1[[#Data],[AcX]],Tabla1[[ID]:[ID]]=$A34,0)),""))</f>
        <v/>
      </c>
      <c r="K34" t="str" cm="1">
        <f t="array" ref="K34">IFERROR(AVERAGE(_xlfn._xlws.FILTER(Tabla1[[#Data],[AcY]],Tabla1[[ID]:[ID]]=$A34,0)),"")</f>
        <v/>
      </c>
      <c r="L34" t="str" cm="1">
        <f t="array" ref="L34">IF(IFERROR(MAX(_xlfn._xlws.FILTER(Tabla1[[#Data],[AcY]],Tabla1[[ID]:[ID]]=$A34,0)),"")=0,"",IFERROR(MAX(_xlfn._xlws.FILTER(Tabla1[[#Data],[AcY]],Tabla1[[ID]:[ID]]=$A34,0)),""))</f>
        <v/>
      </c>
      <c r="M34" t="str" cm="1">
        <f t="array" ref="M34">IF(IFERROR(MIN(_xlfn._xlws.FILTER(Tabla1[[#Data],[AcY]],Tabla1[[ID]:[ID]]=$A34,0)),"")=0,"",IFERROR(MIN(_xlfn._xlws.FILTER(Tabla1[[#Data],[AcY]],Tabla1[[ID]:[ID]]=$A34,0)),""))</f>
        <v/>
      </c>
      <c r="N34" t="str" cm="1">
        <f t="array" ref="N34">IFERROR(AVERAGE(_xlfn._xlws.FILTER(Tabla1[[#Data],[AcZ]],Tabla1[[ID]:[ID]]=$A34,0)),"")</f>
        <v/>
      </c>
      <c r="O34" t="str" cm="1">
        <f t="array" ref="O34">IF(IFERROR(MAX(_xlfn._xlws.FILTER(Tabla1[[#Data],[AcZ]],Tabla1[[ID]:[ID]]=$A34,0)),"")=0,"",IFERROR(MAX(_xlfn._xlws.FILTER(Tabla1[[#Data],[AcZ]],Tabla1[[ID]:[ID]]=$A34,0)),""))</f>
        <v/>
      </c>
      <c r="P34" t="str" cm="1">
        <f t="array" ref="P34">IF(IFERROR(MIN(_xlfn._xlws.FILTER(Tabla1[[#Data],[AcZ]],Tabla1[[ID]:[ID]]=$A34,0)),"")=0,"",IFERROR(MIN(_xlfn._xlws.FILTER(Tabla1[[#Data],[AcZ]],Tabla1[[ID]:[ID]]=$A34,0)),""))</f>
        <v/>
      </c>
      <c r="Q34" t="str" cm="1">
        <f t="array" ref="Q34">IFERROR(AVERAGE(_xlfn._xlws.FILTER(Tabla1[[#Data],[GyX]],Tabla1[[ID]:[ID]]=$A34,0)),"")</f>
        <v/>
      </c>
      <c r="R34" t="str" cm="1">
        <f t="array" ref="R34">IF(IFERROR(MAX(_xlfn._xlws.FILTER(Tabla1[[#Data],[GyX]],Tabla1[[ID]:[ID]]=$A34,0)),"")=0,"",IFERROR(MAX(_xlfn._xlws.FILTER(Tabla1[[#Data],[GyX]],Tabla1[[ID]:[ID]]=$A34,0)),""))</f>
        <v/>
      </c>
      <c r="S34" t="str" cm="1">
        <f t="array" ref="S34">IF(IFERROR(MIN(_xlfn._xlws.FILTER(Tabla1[[#Data],[GyX]],Tabla1[[ID]:[ID]]=$A34,0)),"")=0,"",IFERROR(MIN(_xlfn._xlws.FILTER(Tabla1[[#Data],[GyX]],Tabla1[[ID]:[ID]]=$A34,0)),""))</f>
        <v/>
      </c>
      <c r="T34" t="str" cm="1">
        <f t="array" ref="T34">IFERROR(AVERAGE(_xlfn._xlws.FILTER(Tabla1[[#Data],[GyY]],Tabla1[[ID]:[ID]]=$A34,0)),"")</f>
        <v/>
      </c>
      <c r="U34" t="str" cm="1">
        <f t="array" ref="U34">IF(IFERROR(MAX(_xlfn._xlws.FILTER(Tabla1[[#Data],[GyY]],Tabla1[[ID]:[ID]]=$A34,0)),"")=0,"",IFERROR(MAX(_xlfn._xlws.FILTER(Tabla1[[#Data],[GyY]],Tabla1[[ID]:[ID]]=$A34,0)),""))</f>
        <v/>
      </c>
      <c r="V34" t="str" cm="1">
        <f t="array" ref="V34">IF(IFERROR(MIN(_xlfn._xlws.FILTER(Tabla1[[#Data],[GyY]],Tabla1[[ID]:[ID]]=$A34,0)),"")=0,"",IFERROR(MIN(_xlfn._xlws.FILTER(Tabla1[[#Data],[GyY]],Tabla1[[ID]:[ID]]=$A34,0)),""))</f>
        <v/>
      </c>
      <c r="W34" t="str" cm="1">
        <f t="array" ref="W34">IFERROR(AVERAGE(_xlfn._xlws.FILTER(Tabla1[[#Data],[GyZ]],Tabla1[[ID]:[ID]]=$A34,0)),"")</f>
        <v/>
      </c>
      <c r="X34" t="str" cm="1">
        <f t="array" ref="X34">IF(IFERROR(MAX(_xlfn._xlws.FILTER(Tabla1[[#Data],[GyZ]],Tabla1[[ID]:[ID]]=$A34,0)),"")=0,"",IFERROR(MAX(_xlfn._xlws.FILTER(Tabla1[[#Data],[GyZ]],Tabla1[[ID]:[ID]]=$A34,0)),""))</f>
        <v/>
      </c>
      <c r="Y34" t="str" cm="1">
        <f t="array" ref="Y34">IF(IFERROR(MIN(_xlfn._xlws.FILTER(Tabla1[[#Data],[GyZ]],Tabla1[[ID]:[ID]]=$A34,0)),"")=0,"",IFERROR(MIN(_xlfn._xlws.FILTER(Tabla1[[#Data],[GyZ]],Tabla1[[ID]:[ID]]=$A34,0)),""))</f>
        <v/>
      </c>
      <c r="Z34" t="str" cm="1">
        <f t="array" ref="Z34">IF(ISNUMBER(A34),IF(ISNUMBER(MATCH(1,_xlfn._xlws.FILTER(Tabla1[[#Data],[Open]],Tabla1[[ID]:[ID]]=$A34,""))),1,0),"")</f>
        <v/>
      </c>
      <c r="AA34" t="str">
        <f t="shared" si="0"/>
        <v/>
      </c>
      <c r="AB34" t="str">
        <f t="shared" si="1"/>
        <v/>
      </c>
      <c r="AC34" t="str">
        <f t="shared" si="2"/>
        <v/>
      </c>
      <c r="AD34" t="str">
        <f t="shared" si="3"/>
        <v/>
      </c>
      <c r="AE34" t="str">
        <f t="shared" si="4"/>
        <v/>
      </c>
      <c r="AF34" t="str">
        <f t="shared" si="5"/>
        <v/>
      </c>
      <c r="AG34" t="str">
        <f t="shared" si="6"/>
        <v/>
      </c>
      <c r="AH34" t="str">
        <f t="shared" si="7"/>
        <v/>
      </c>
      <c r="AI34" t="str">
        <f t="shared" si="8"/>
        <v/>
      </c>
      <c r="AJ34" t="str">
        <f t="shared" si="9"/>
        <v/>
      </c>
    </row>
    <row r="35" spans="2:36" x14ac:dyDescent="0.35">
      <c r="B35" t="str" cm="1">
        <f t="array" ref="B35">IFERROR(AVERAGE(_xlfn._xlws.FILTER(Tabla1[[#Data],[Temperatura]],Tabla1[[ID]:[ID]]=$A35,0)),"")</f>
        <v/>
      </c>
      <c r="C35" t="str" cm="1">
        <f t="array" ref="C35">IF(IFERROR(MAX(_xlfn._xlws.FILTER(Tabla1[[#Data],[Temperatura]],Tabla1[[ID]:[ID]]=$A35,0)),"")=0,"",IFERROR(MAX(_xlfn._xlws.FILTER(Tabla1[[#Data],[Temperatura]],Tabla1[[ID]:[ID]]=$A35,0)),""))</f>
        <v/>
      </c>
      <c r="D35" t="str" cm="1">
        <f t="array" ref="D35">IF(IFERROR(MIN(_xlfn._xlws.FILTER(Tabla1[[#Data],[Temperatura]],Tabla1[[ID]:[ID]]=$A35,0)),"")=0,"",IFERROR(MIN(_xlfn._xlws.FILTER(Tabla1[[#Data],[Temperatura]],Tabla1[[ID]:[ID]]=$A35,0)),""))</f>
        <v/>
      </c>
      <c r="E35" t="str" cm="1">
        <f t="array" ref="E35">IFERROR(AVERAGE(_xlfn._xlws.FILTER(Tabla1[[#Data],[Humidade]],Tabla1[[ID]:[ID]]=$A35,0)),"")</f>
        <v/>
      </c>
      <c r="F35" t="str" cm="1">
        <f t="array" ref="F35">IF(IFERROR(MAX(_xlfn._xlws.FILTER(Tabla1[[#Data],[Humidade]],Tabla1[[ID]:[ID]]=$A35,0)),"")=0,"",IFERROR(MAX(_xlfn._xlws.FILTER(Tabla1[[#Data],[Humidade]],Tabla1[[ID]:[ID]]=$A35,0)),""))</f>
        <v/>
      </c>
      <c r="G35" t="str" cm="1">
        <f t="array" ref="G35">IF(IFERROR(MIN(_xlfn._xlws.FILTER(Tabla1[[#Data],[Humidade]],Tabla1[[ID]:[ID]]=$A35,0)),"")=0,"",IFERROR(MIN(_xlfn._xlws.FILTER(Tabla1[[#Data],[Humidade]],Tabla1[[ID]:[ID]]=$A35,0)),""))</f>
        <v/>
      </c>
      <c r="H35" t="str" cm="1">
        <f t="array" ref="H35">IFERROR(AVERAGE(_xlfn._xlws.FILTER(Tabla1[[#Data],[AcX]],Tabla1[[ID]:[ID]]=$A35,0)),"")</f>
        <v/>
      </c>
      <c r="I35" t="str" cm="1">
        <f t="array" ref="I35">IF(IFERROR(MAX(_xlfn._xlws.FILTER(Tabla1[[#Data],[AcX]],Tabla1[[ID]:[ID]]=$A35,0)),"")=0,"",IFERROR(MAX(_xlfn._xlws.FILTER(Tabla1[[#Data],[AcX]],Tabla1[[ID]:[ID]]=$A35,0)),""))</f>
        <v/>
      </c>
      <c r="J35" t="str" cm="1">
        <f t="array" ref="J35">IF(IFERROR(MIN(_xlfn._xlws.FILTER(Tabla1[[#Data],[AcX]],Tabla1[[ID]:[ID]]=$A35,0)),"")=0,"",IFERROR(MIN(_xlfn._xlws.FILTER(Tabla1[[#Data],[AcX]],Tabla1[[ID]:[ID]]=$A35,0)),""))</f>
        <v/>
      </c>
      <c r="K35" t="str" cm="1">
        <f t="array" ref="K35">IFERROR(AVERAGE(_xlfn._xlws.FILTER(Tabla1[[#Data],[AcY]],Tabla1[[ID]:[ID]]=$A35,0)),"")</f>
        <v/>
      </c>
      <c r="L35" t="str" cm="1">
        <f t="array" ref="L35">IF(IFERROR(MAX(_xlfn._xlws.FILTER(Tabla1[[#Data],[AcY]],Tabla1[[ID]:[ID]]=$A35,0)),"")=0,"",IFERROR(MAX(_xlfn._xlws.FILTER(Tabla1[[#Data],[AcY]],Tabla1[[ID]:[ID]]=$A35,0)),""))</f>
        <v/>
      </c>
      <c r="M35" t="str" cm="1">
        <f t="array" ref="M35">IF(IFERROR(MIN(_xlfn._xlws.FILTER(Tabla1[[#Data],[AcY]],Tabla1[[ID]:[ID]]=$A35,0)),"")=0,"",IFERROR(MIN(_xlfn._xlws.FILTER(Tabla1[[#Data],[AcY]],Tabla1[[ID]:[ID]]=$A35,0)),""))</f>
        <v/>
      </c>
      <c r="N35" t="str" cm="1">
        <f t="array" ref="N35">IFERROR(AVERAGE(_xlfn._xlws.FILTER(Tabla1[[#Data],[AcZ]],Tabla1[[ID]:[ID]]=$A35,0)),"")</f>
        <v/>
      </c>
      <c r="O35" t="str" cm="1">
        <f t="array" ref="O35">IF(IFERROR(MAX(_xlfn._xlws.FILTER(Tabla1[[#Data],[AcZ]],Tabla1[[ID]:[ID]]=$A35,0)),"")=0,"",IFERROR(MAX(_xlfn._xlws.FILTER(Tabla1[[#Data],[AcZ]],Tabla1[[ID]:[ID]]=$A35,0)),""))</f>
        <v/>
      </c>
      <c r="P35" t="str" cm="1">
        <f t="array" ref="P35">IF(IFERROR(MIN(_xlfn._xlws.FILTER(Tabla1[[#Data],[AcZ]],Tabla1[[ID]:[ID]]=$A35,0)),"")=0,"",IFERROR(MIN(_xlfn._xlws.FILTER(Tabla1[[#Data],[AcZ]],Tabla1[[ID]:[ID]]=$A35,0)),""))</f>
        <v/>
      </c>
      <c r="Q35" t="str" cm="1">
        <f t="array" ref="Q35">IFERROR(AVERAGE(_xlfn._xlws.FILTER(Tabla1[[#Data],[GyX]],Tabla1[[ID]:[ID]]=$A35,0)),"")</f>
        <v/>
      </c>
      <c r="R35" t="str" cm="1">
        <f t="array" ref="R35">IF(IFERROR(MAX(_xlfn._xlws.FILTER(Tabla1[[#Data],[GyX]],Tabla1[[ID]:[ID]]=$A35,0)),"")=0,"",IFERROR(MAX(_xlfn._xlws.FILTER(Tabla1[[#Data],[GyX]],Tabla1[[ID]:[ID]]=$A35,0)),""))</f>
        <v/>
      </c>
      <c r="S35" t="str" cm="1">
        <f t="array" ref="S35">IF(IFERROR(MIN(_xlfn._xlws.FILTER(Tabla1[[#Data],[GyX]],Tabla1[[ID]:[ID]]=$A35,0)),"")=0,"",IFERROR(MIN(_xlfn._xlws.FILTER(Tabla1[[#Data],[GyX]],Tabla1[[ID]:[ID]]=$A35,0)),""))</f>
        <v/>
      </c>
      <c r="T35" t="str" cm="1">
        <f t="array" ref="T35">IFERROR(AVERAGE(_xlfn._xlws.FILTER(Tabla1[[#Data],[GyY]],Tabla1[[ID]:[ID]]=$A35,0)),"")</f>
        <v/>
      </c>
      <c r="U35" t="str" cm="1">
        <f t="array" ref="U35">IF(IFERROR(MAX(_xlfn._xlws.FILTER(Tabla1[[#Data],[GyY]],Tabla1[[ID]:[ID]]=$A35,0)),"")=0,"",IFERROR(MAX(_xlfn._xlws.FILTER(Tabla1[[#Data],[GyY]],Tabla1[[ID]:[ID]]=$A35,0)),""))</f>
        <v/>
      </c>
      <c r="V35" t="str" cm="1">
        <f t="array" ref="V35">IF(IFERROR(MIN(_xlfn._xlws.FILTER(Tabla1[[#Data],[GyY]],Tabla1[[ID]:[ID]]=$A35,0)),"")=0,"",IFERROR(MIN(_xlfn._xlws.FILTER(Tabla1[[#Data],[GyY]],Tabla1[[ID]:[ID]]=$A35,0)),""))</f>
        <v/>
      </c>
      <c r="W35" t="str" cm="1">
        <f t="array" ref="W35">IFERROR(AVERAGE(_xlfn._xlws.FILTER(Tabla1[[#Data],[GyZ]],Tabla1[[ID]:[ID]]=$A35,0)),"")</f>
        <v/>
      </c>
      <c r="X35" t="str" cm="1">
        <f t="array" ref="X35">IF(IFERROR(MAX(_xlfn._xlws.FILTER(Tabla1[[#Data],[GyZ]],Tabla1[[ID]:[ID]]=$A35,0)),"")=0,"",IFERROR(MAX(_xlfn._xlws.FILTER(Tabla1[[#Data],[GyZ]],Tabla1[[ID]:[ID]]=$A35,0)),""))</f>
        <v/>
      </c>
      <c r="Y35" t="str" cm="1">
        <f t="array" ref="Y35">IF(IFERROR(MIN(_xlfn._xlws.FILTER(Tabla1[[#Data],[GyZ]],Tabla1[[ID]:[ID]]=$A35,0)),"")=0,"",IFERROR(MIN(_xlfn._xlws.FILTER(Tabla1[[#Data],[GyZ]],Tabla1[[ID]:[ID]]=$A35,0)),""))</f>
        <v/>
      </c>
      <c r="Z35" t="str" cm="1">
        <f t="array" ref="Z35">IF(ISNUMBER(A35),IF(ISNUMBER(MATCH(1,_xlfn._xlws.FILTER(Tabla1[[#Data],[Open]],Tabla1[[ID]:[ID]]=$A35,""))),1,0),"")</f>
        <v/>
      </c>
      <c r="AA35" t="str">
        <f t="shared" si="0"/>
        <v/>
      </c>
      <c r="AB35" t="str">
        <f t="shared" si="1"/>
        <v/>
      </c>
      <c r="AC35" t="str">
        <f t="shared" si="2"/>
        <v/>
      </c>
      <c r="AD35" t="str">
        <f t="shared" si="3"/>
        <v/>
      </c>
      <c r="AE35" t="str">
        <f t="shared" si="4"/>
        <v/>
      </c>
      <c r="AF35" t="str">
        <f t="shared" si="5"/>
        <v/>
      </c>
      <c r="AG35" t="str">
        <f t="shared" si="6"/>
        <v/>
      </c>
      <c r="AH35" t="str">
        <f t="shared" si="7"/>
        <v/>
      </c>
      <c r="AI35" t="str">
        <f t="shared" si="8"/>
        <v/>
      </c>
      <c r="AJ35" t="str">
        <f t="shared" si="9"/>
        <v/>
      </c>
    </row>
    <row r="36" spans="2:36" x14ac:dyDescent="0.35">
      <c r="B36" t="str" cm="1">
        <f t="array" ref="B36">IFERROR(AVERAGE(_xlfn._xlws.FILTER(Tabla1[[#Data],[Temperatura]],Tabla1[[ID]:[ID]]=$A36,0)),"")</f>
        <v/>
      </c>
      <c r="C36" t="str" cm="1">
        <f t="array" ref="C36">IF(IFERROR(MAX(_xlfn._xlws.FILTER(Tabla1[[#Data],[Temperatura]],Tabla1[[ID]:[ID]]=$A36,0)),"")=0,"",IFERROR(MAX(_xlfn._xlws.FILTER(Tabla1[[#Data],[Temperatura]],Tabla1[[ID]:[ID]]=$A36,0)),""))</f>
        <v/>
      </c>
      <c r="D36" t="str" cm="1">
        <f t="array" ref="D36">IF(IFERROR(MIN(_xlfn._xlws.FILTER(Tabla1[[#Data],[Temperatura]],Tabla1[[ID]:[ID]]=$A36,0)),"")=0,"",IFERROR(MIN(_xlfn._xlws.FILTER(Tabla1[[#Data],[Temperatura]],Tabla1[[ID]:[ID]]=$A36,0)),""))</f>
        <v/>
      </c>
      <c r="E36" t="str" cm="1">
        <f t="array" ref="E36">IFERROR(AVERAGE(_xlfn._xlws.FILTER(Tabla1[[#Data],[Humidade]],Tabla1[[ID]:[ID]]=$A36,0)),"")</f>
        <v/>
      </c>
      <c r="F36" t="str" cm="1">
        <f t="array" ref="F36">IF(IFERROR(MAX(_xlfn._xlws.FILTER(Tabla1[[#Data],[Humidade]],Tabla1[[ID]:[ID]]=$A36,0)),"")=0,"",IFERROR(MAX(_xlfn._xlws.FILTER(Tabla1[[#Data],[Humidade]],Tabla1[[ID]:[ID]]=$A36,0)),""))</f>
        <v/>
      </c>
      <c r="G36" t="str" cm="1">
        <f t="array" ref="G36">IF(IFERROR(MIN(_xlfn._xlws.FILTER(Tabla1[[#Data],[Humidade]],Tabla1[[ID]:[ID]]=$A36,0)),"")=0,"",IFERROR(MIN(_xlfn._xlws.FILTER(Tabla1[[#Data],[Humidade]],Tabla1[[ID]:[ID]]=$A36,0)),""))</f>
        <v/>
      </c>
      <c r="H36" t="str" cm="1">
        <f t="array" ref="H36">IFERROR(AVERAGE(_xlfn._xlws.FILTER(Tabla1[[#Data],[AcX]],Tabla1[[ID]:[ID]]=$A36,0)),"")</f>
        <v/>
      </c>
      <c r="I36" t="str" cm="1">
        <f t="array" ref="I36">IF(IFERROR(MAX(_xlfn._xlws.FILTER(Tabla1[[#Data],[AcX]],Tabla1[[ID]:[ID]]=$A36,0)),"")=0,"",IFERROR(MAX(_xlfn._xlws.FILTER(Tabla1[[#Data],[AcX]],Tabla1[[ID]:[ID]]=$A36,0)),""))</f>
        <v/>
      </c>
      <c r="J36" t="str" cm="1">
        <f t="array" ref="J36">IF(IFERROR(MIN(_xlfn._xlws.FILTER(Tabla1[[#Data],[AcX]],Tabla1[[ID]:[ID]]=$A36,0)),"")=0,"",IFERROR(MIN(_xlfn._xlws.FILTER(Tabla1[[#Data],[AcX]],Tabla1[[ID]:[ID]]=$A36,0)),""))</f>
        <v/>
      </c>
      <c r="K36" t="str" cm="1">
        <f t="array" ref="K36">IFERROR(AVERAGE(_xlfn._xlws.FILTER(Tabla1[[#Data],[AcY]],Tabla1[[ID]:[ID]]=$A36,0)),"")</f>
        <v/>
      </c>
      <c r="L36" t="str" cm="1">
        <f t="array" ref="L36">IF(IFERROR(MAX(_xlfn._xlws.FILTER(Tabla1[[#Data],[AcY]],Tabla1[[ID]:[ID]]=$A36,0)),"")=0,"",IFERROR(MAX(_xlfn._xlws.FILTER(Tabla1[[#Data],[AcY]],Tabla1[[ID]:[ID]]=$A36,0)),""))</f>
        <v/>
      </c>
      <c r="M36" t="str" cm="1">
        <f t="array" ref="M36">IF(IFERROR(MIN(_xlfn._xlws.FILTER(Tabla1[[#Data],[AcY]],Tabla1[[ID]:[ID]]=$A36,0)),"")=0,"",IFERROR(MIN(_xlfn._xlws.FILTER(Tabla1[[#Data],[AcY]],Tabla1[[ID]:[ID]]=$A36,0)),""))</f>
        <v/>
      </c>
      <c r="N36" t="str" cm="1">
        <f t="array" ref="N36">IFERROR(AVERAGE(_xlfn._xlws.FILTER(Tabla1[[#Data],[AcZ]],Tabla1[[ID]:[ID]]=$A36,0)),"")</f>
        <v/>
      </c>
      <c r="O36" t="str" cm="1">
        <f t="array" ref="O36">IF(IFERROR(MAX(_xlfn._xlws.FILTER(Tabla1[[#Data],[AcZ]],Tabla1[[ID]:[ID]]=$A36,0)),"")=0,"",IFERROR(MAX(_xlfn._xlws.FILTER(Tabla1[[#Data],[AcZ]],Tabla1[[ID]:[ID]]=$A36,0)),""))</f>
        <v/>
      </c>
      <c r="P36" t="str" cm="1">
        <f t="array" ref="P36">IF(IFERROR(MIN(_xlfn._xlws.FILTER(Tabla1[[#Data],[AcZ]],Tabla1[[ID]:[ID]]=$A36,0)),"")=0,"",IFERROR(MIN(_xlfn._xlws.FILTER(Tabla1[[#Data],[AcZ]],Tabla1[[ID]:[ID]]=$A36,0)),""))</f>
        <v/>
      </c>
      <c r="Q36" t="str" cm="1">
        <f t="array" ref="Q36">IFERROR(AVERAGE(_xlfn._xlws.FILTER(Tabla1[[#Data],[GyX]],Tabla1[[ID]:[ID]]=$A36,0)),"")</f>
        <v/>
      </c>
      <c r="R36" t="str" cm="1">
        <f t="array" ref="R36">IF(IFERROR(MAX(_xlfn._xlws.FILTER(Tabla1[[#Data],[GyX]],Tabla1[[ID]:[ID]]=$A36,0)),"")=0,"",IFERROR(MAX(_xlfn._xlws.FILTER(Tabla1[[#Data],[GyX]],Tabla1[[ID]:[ID]]=$A36,0)),""))</f>
        <v/>
      </c>
      <c r="S36" t="str" cm="1">
        <f t="array" ref="S36">IF(IFERROR(MIN(_xlfn._xlws.FILTER(Tabla1[[#Data],[GyX]],Tabla1[[ID]:[ID]]=$A36,0)),"")=0,"",IFERROR(MIN(_xlfn._xlws.FILTER(Tabla1[[#Data],[GyX]],Tabla1[[ID]:[ID]]=$A36,0)),""))</f>
        <v/>
      </c>
      <c r="T36" t="str" cm="1">
        <f t="array" ref="T36">IFERROR(AVERAGE(_xlfn._xlws.FILTER(Tabla1[[#Data],[GyY]],Tabla1[[ID]:[ID]]=$A36,0)),"")</f>
        <v/>
      </c>
      <c r="U36" t="str" cm="1">
        <f t="array" ref="U36">IF(IFERROR(MAX(_xlfn._xlws.FILTER(Tabla1[[#Data],[GyY]],Tabla1[[ID]:[ID]]=$A36,0)),"")=0,"",IFERROR(MAX(_xlfn._xlws.FILTER(Tabla1[[#Data],[GyY]],Tabla1[[ID]:[ID]]=$A36,0)),""))</f>
        <v/>
      </c>
      <c r="V36" t="str" cm="1">
        <f t="array" ref="V36">IF(IFERROR(MIN(_xlfn._xlws.FILTER(Tabla1[[#Data],[GyY]],Tabla1[[ID]:[ID]]=$A36,0)),"")=0,"",IFERROR(MIN(_xlfn._xlws.FILTER(Tabla1[[#Data],[GyY]],Tabla1[[ID]:[ID]]=$A36,0)),""))</f>
        <v/>
      </c>
      <c r="W36" t="str" cm="1">
        <f t="array" ref="W36">IFERROR(AVERAGE(_xlfn._xlws.FILTER(Tabla1[[#Data],[GyZ]],Tabla1[[ID]:[ID]]=$A36,0)),"")</f>
        <v/>
      </c>
      <c r="X36" t="str" cm="1">
        <f t="array" ref="X36">IF(IFERROR(MAX(_xlfn._xlws.FILTER(Tabla1[[#Data],[GyZ]],Tabla1[[ID]:[ID]]=$A36,0)),"")=0,"",IFERROR(MAX(_xlfn._xlws.FILTER(Tabla1[[#Data],[GyZ]],Tabla1[[ID]:[ID]]=$A36,0)),""))</f>
        <v/>
      </c>
      <c r="Y36" t="str" cm="1">
        <f t="array" ref="Y36">IF(IFERROR(MIN(_xlfn._xlws.FILTER(Tabla1[[#Data],[GyZ]],Tabla1[[ID]:[ID]]=$A36,0)),"")=0,"",IFERROR(MIN(_xlfn._xlws.FILTER(Tabla1[[#Data],[GyZ]],Tabla1[[ID]:[ID]]=$A36,0)),""))</f>
        <v/>
      </c>
      <c r="Z36" t="str" cm="1">
        <f t="array" ref="Z36">IF(ISNUMBER(A36),IF(ISNUMBER(MATCH(1,_xlfn._xlws.FILTER(Tabla1[[#Data],[Open]],Tabla1[[ID]:[ID]]=$A36,""))),1,0),"")</f>
        <v/>
      </c>
      <c r="AA36" t="str">
        <f t="shared" si="0"/>
        <v/>
      </c>
      <c r="AB36" t="str">
        <f t="shared" si="1"/>
        <v/>
      </c>
      <c r="AC36" t="str">
        <f t="shared" si="2"/>
        <v/>
      </c>
      <c r="AD36" t="str">
        <f t="shared" si="3"/>
        <v/>
      </c>
      <c r="AE36" t="str">
        <f t="shared" si="4"/>
        <v/>
      </c>
      <c r="AF36" t="str">
        <f t="shared" si="5"/>
        <v/>
      </c>
      <c r="AG36" t="str">
        <f t="shared" si="6"/>
        <v/>
      </c>
      <c r="AH36" t="str">
        <f t="shared" si="7"/>
        <v/>
      </c>
      <c r="AI36" t="str">
        <f t="shared" si="8"/>
        <v/>
      </c>
      <c r="AJ36" t="str">
        <f t="shared" si="9"/>
        <v/>
      </c>
    </row>
    <row r="37" spans="2:36" x14ac:dyDescent="0.35">
      <c r="B37" t="str" cm="1">
        <f t="array" ref="B37">IFERROR(AVERAGE(_xlfn._xlws.FILTER(Tabla1[[#Data],[Temperatura]],Tabla1[[ID]:[ID]]=$A37,0)),"")</f>
        <v/>
      </c>
      <c r="C37" t="str" cm="1">
        <f t="array" ref="C37">IF(IFERROR(MAX(_xlfn._xlws.FILTER(Tabla1[[#Data],[Temperatura]],Tabla1[[ID]:[ID]]=$A37,0)),"")=0,"",IFERROR(MAX(_xlfn._xlws.FILTER(Tabla1[[#Data],[Temperatura]],Tabla1[[ID]:[ID]]=$A37,0)),""))</f>
        <v/>
      </c>
      <c r="D37" t="str" cm="1">
        <f t="array" ref="D37">IF(IFERROR(MIN(_xlfn._xlws.FILTER(Tabla1[[#Data],[Temperatura]],Tabla1[[ID]:[ID]]=$A37,0)),"")=0,"",IFERROR(MIN(_xlfn._xlws.FILTER(Tabla1[[#Data],[Temperatura]],Tabla1[[ID]:[ID]]=$A37,0)),""))</f>
        <v/>
      </c>
      <c r="E37" t="str" cm="1">
        <f t="array" ref="E37">IFERROR(AVERAGE(_xlfn._xlws.FILTER(Tabla1[[#Data],[Humidade]],Tabla1[[ID]:[ID]]=$A37,0)),"")</f>
        <v/>
      </c>
      <c r="F37" t="str" cm="1">
        <f t="array" ref="F37">IF(IFERROR(MAX(_xlfn._xlws.FILTER(Tabla1[[#Data],[Humidade]],Tabla1[[ID]:[ID]]=$A37,0)),"")=0,"",IFERROR(MAX(_xlfn._xlws.FILTER(Tabla1[[#Data],[Humidade]],Tabla1[[ID]:[ID]]=$A37,0)),""))</f>
        <v/>
      </c>
      <c r="G37" t="str" cm="1">
        <f t="array" ref="G37">IF(IFERROR(MIN(_xlfn._xlws.FILTER(Tabla1[[#Data],[Humidade]],Tabla1[[ID]:[ID]]=$A37,0)),"")=0,"",IFERROR(MIN(_xlfn._xlws.FILTER(Tabla1[[#Data],[Humidade]],Tabla1[[ID]:[ID]]=$A37,0)),""))</f>
        <v/>
      </c>
      <c r="H37" t="str" cm="1">
        <f t="array" ref="H37">IFERROR(AVERAGE(_xlfn._xlws.FILTER(Tabla1[[#Data],[AcX]],Tabla1[[ID]:[ID]]=$A37,0)),"")</f>
        <v/>
      </c>
      <c r="I37" t="str" cm="1">
        <f t="array" ref="I37">IF(IFERROR(MAX(_xlfn._xlws.FILTER(Tabla1[[#Data],[AcX]],Tabla1[[ID]:[ID]]=$A37,0)),"")=0,"",IFERROR(MAX(_xlfn._xlws.FILTER(Tabla1[[#Data],[AcX]],Tabla1[[ID]:[ID]]=$A37,0)),""))</f>
        <v/>
      </c>
      <c r="J37" t="str" cm="1">
        <f t="array" ref="J37">IF(IFERROR(MIN(_xlfn._xlws.FILTER(Tabla1[[#Data],[AcX]],Tabla1[[ID]:[ID]]=$A37,0)),"")=0,"",IFERROR(MIN(_xlfn._xlws.FILTER(Tabla1[[#Data],[AcX]],Tabla1[[ID]:[ID]]=$A37,0)),""))</f>
        <v/>
      </c>
      <c r="K37" t="str" cm="1">
        <f t="array" ref="K37">IFERROR(AVERAGE(_xlfn._xlws.FILTER(Tabla1[[#Data],[AcY]],Tabla1[[ID]:[ID]]=$A37,0)),"")</f>
        <v/>
      </c>
      <c r="L37" t="str" cm="1">
        <f t="array" ref="L37">IF(IFERROR(MAX(_xlfn._xlws.FILTER(Tabla1[[#Data],[AcY]],Tabla1[[ID]:[ID]]=$A37,0)),"")=0,"",IFERROR(MAX(_xlfn._xlws.FILTER(Tabla1[[#Data],[AcY]],Tabla1[[ID]:[ID]]=$A37,0)),""))</f>
        <v/>
      </c>
      <c r="M37" t="str" cm="1">
        <f t="array" ref="M37">IF(IFERROR(MIN(_xlfn._xlws.FILTER(Tabla1[[#Data],[AcY]],Tabla1[[ID]:[ID]]=$A37,0)),"")=0,"",IFERROR(MIN(_xlfn._xlws.FILTER(Tabla1[[#Data],[AcY]],Tabla1[[ID]:[ID]]=$A37,0)),""))</f>
        <v/>
      </c>
      <c r="N37" t="str" cm="1">
        <f t="array" ref="N37">IFERROR(AVERAGE(_xlfn._xlws.FILTER(Tabla1[[#Data],[AcZ]],Tabla1[[ID]:[ID]]=$A37,0)),"")</f>
        <v/>
      </c>
      <c r="O37" t="str" cm="1">
        <f t="array" ref="O37">IF(IFERROR(MAX(_xlfn._xlws.FILTER(Tabla1[[#Data],[AcZ]],Tabla1[[ID]:[ID]]=$A37,0)),"")=0,"",IFERROR(MAX(_xlfn._xlws.FILTER(Tabla1[[#Data],[AcZ]],Tabla1[[ID]:[ID]]=$A37,0)),""))</f>
        <v/>
      </c>
      <c r="P37" t="str" cm="1">
        <f t="array" ref="P37">IF(IFERROR(MIN(_xlfn._xlws.FILTER(Tabla1[[#Data],[AcZ]],Tabla1[[ID]:[ID]]=$A37,0)),"")=0,"",IFERROR(MIN(_xlfn._xlws.FILTER(Tabla1[[#Data],[AcZ]],Tabla1[[ID]:[ID]]=$A37,0)),""))</f>
        <v/>
      </c>
      <c r="Q37" t="str" cm="1">
        <f t="array" ref="Q37">IFERROR(AVERAGE(_xlfn._xlws.FILTER(Tabla1[[#Data],[GyX]],Tabla1[[ID]:[ID]]=$A37,0)),"")</f>
        <v/>
      </c>
      <c r="R37" t="str" cm="1">
        <f t="array" ref="R37">IF(IFERROR(MAX(_xlfn._xlws.FILTER(Tabla1[[#Data],[GyX]],Tabla1[[ID]:[ID]]=$A37,0)),"")=0,"",IFERROR(MAX(_xlfn._xlws.FILTER(Tabla1[[#Data],[GyX]],Tabla1[[ID]:[ID]]=$A37,0)),""))</f>
        <v/>
      </c>
      <c r="S37" t="str" cm="1">
        <f t="array" ref="S37">IF(IFERROR(MIN(_xlfn._xlws.FILTER(Tabla1[[#Data],[GyX]],Tabla1[[ID]:[ID]]=$A37,0)),"")=0,"",IFERROR(MIN(_xlfn._xlws.FILTER(Tabla1[[#Data],[GyX]],Tabla1[[ID]:[ID]]=$A37,0)),""))</f>
        <v/>
      </c>
      <c r="T37" t="str" cm="1">
        <f t="array" ref="T37">IFERROR(AVERAGE(_xlfn._xlws.FILTER(Tabla1[[#Data],[GyY]],Tabla1[[ID]:[ID]]=$A37,0)),"")</f>
        <v/>
      </c>
      <c r="U37" t="str" cm="1">
        <f t="array" ref="U37">IF(IFERROR(MAX(_xlfn._xlws.FILTER(Tabla1[[#Data],[GyY]],Tabla1[[ID]:[ID]]=$A37,0)),"")=0,"",IFERROR(MAX(_xlfn._xlws.FILTER(Tabla1[[#Data],[GyY]],Tabla1[[ID]:[ID]]=$A37,0)),""))</f>
        <v/>
      </c>
      <c r="V37" t="str" cm="1">
        <f t="array" ref="V37">IF(IFERROR(MIN(_xlfn._xlws.FILTER(Tabla1[[#Data],[GyY]],Tabla1[[ID]:[ID]]=$A37,0)),"")=0,"",IFERROR(MIN(_xlfn._xlws.FILTER(Tabla1[[#Data],[GyY]],Tabla1[[ID]:[ID]]=$A37,0)),""))</f>
        <v/>
      </c>
      <c r="W37" t="str" cm="1">
        <f t="array" ref="W37">IFERROR(AVERAGE(_xlfn._xlws.FILTER(Tabla1[[#Data],[GyZ]],Tabla1[[ID]:[ID]]=$A37,0)),"")</f>
        <v/>
      </c>
      <c r="X37" t="str" cm="1">
        <f t="array" ref="X37">IF(IFERROR(MAX(_xlfn._xlws.FILTER(Tabla1[[#Data],[GyZ]],Tabla1[[ID]:[ID]]=$A37,0)),"")=0,"",IFERROR(MAX(_xlfn._xlws.FILTER(Tabla1[[#Data],[GyZ]],Tabla1[[ID]:[ID]]=$A37,0)),""))</f>
        <v/>
      </c>
      <c r="Y37" t="str" cm="1">
        <f t="array" ref="Y37">IF(IFERROR(MIN(_xlfn._xlws.FILTER(Tabla1[[#Data],[GyZ]],Tabla1[[ID]:[ID]]=$A37,0)),"")=0,"",IFERROR(MIN(_xlfn._xlws.FILTER(Tabla1[[#Data],[GyZ]],Tabla1[[ID]:[ID]]=$A37,0)),""))</f>
        <v/>
      </c>
      <c r="Z37" t="str" cm="1">
        <f t="array" ref="Z37">IF(ISNUMBER(A37),IF(ISNUMBER(MATCH(1,_xlfn._xlws.FILTER(Tabla1[[#Data],[Open]],Tabla1[[ID]:[ID]]=$A37,""))),1,0),"")</f>
        <v/>
      </c>
      <c r="AA37" t="str">
        <f t="shared" si="0"/>
        <v/>
      </c>
      <c r="AB37" t="str">
        <f t="shared" si="1"/>
        <v/>
      </c>
      <c r="AC37" t="str">
        <f t="shared" si="2"/>
        <v/>
      </c>
      <c r="AD37" t="str">
        <f t="shared" si="3"/>
        <v/>
      </c>
      <c r="AE37" t="str">
        <f t="shared" si="4"/>
        <v/>
      </c>
      <c r="AF37" t="str">
        <f t="shared" si="5"/>
        <v/>
      </c>
      <c r="AG37" t="str">
        <f t="shared" si="6"/>
        <v/>
      </c>
      <c r="AH37" t="str">
        <f t="shared" si="7"/>
        <v/>
      </c>
      <c r="AI37" t="str">
        <f t="shared" si="8"/>
        <v/>
      </c>
      <c r="AJ37" t="str">
        <f t="shared" si="9"/>
        <v/>
      </c>
    </row>
    <row r="38" spans="2:36" x14ac:dyDescent="0.35">
      <c r="B38" t="str" cm="1">
        <f t="array" ref="B38">IFERROR(AVERAGE(_xlfn._xlws.FILTER(Tabla1[[#Data],[Temperatura]],Tabla1[[ID]:[ID]]=$A38,0)),"")</f>
        <v/>
      </c>
      <c r="C38" t="str" cm="1">
        <f t="array" ref="C38">IF(IFERROR(MAX(_xlfn._xlws.FILTER(Tabla1[[#Data],[Temperatura]],Tabla1[[ID]:[ID]]=$A38,0)),"")=0,"",IFERROR(MAX(_xlfn._xlws.FILTER(Tabla1[[#Data],[Temperatura]],Tabla1[[ID]:[ID]]=$A38,0)),""))</f>
        <v/>
      </c>
      <c r="D38" t="str" cm="1">
        <f t="array" ref="D38">IF(IFERROR(MIN(_xlfn._xlws.FILTER(Tabla1[[#Data],[Temperatura]],Tabla1[[ID]:[ID]]=$A38,0)),"")=0,"",IFERROR(MIN(_xlfn._xlws.FILTER(Tabla1[[#Data],[Temperatura]],Tabla1[[ID]:[ID]]=$A38,0)),""))</f>
        <v/>
      </c>
      <c r="E38" t="str" cm="1">
        <f t="array" ref="E38">IFERROR(AVERAGE(_xlfn._xlws.FILTER(Tabla1[[#Data],[Humidade]],Tabla1[[ID]:[ID]]=$A38,0)),"")</f>
        <v/>
      </c>
      <c r="F38" t="str" cm="1">
        <f t="array" ref="F38">IF(IFERROR(MAX(_xlfn._xlws.FILTER(Tabla1[[#Data],[Humidade]],Tabla1[[ID]:[ID]]=$A38,0)),"")=0,"",IFERROR(MAX(_xlfn._xlws.FILTER(Tabla1[[#Data],[Humidade]],Tabla1[[ID]:[ID]]=$A38,0)),""))</f>
        <v/>
      </c>
      <c r="G38" t="str" cm="1">
        <f t="array" ref="G38">IF(IFERROR(MIN(_xlfn._xlws.FILTER(Tabla1[[#Data],[Humidade]],Tabla1[[ID]:[ID]]=$A38,0)),"")=0,"",IFERROR(MIN(_xlfn._xlws.FILTER(Tabla1[[#Data],[Humidade]],Tabla1[[ID]:[ID]]=$A38,0)),""))</f>
        <v/>
      </c>
      <c r="H38" t="str" cm="1">
        <f t="array" ref="H38">IFERROR(AVERAGE(_xlfn._xlws.FILTER(Tabla1[[#Data],[AcX]],Tabla1[[ID]:[ID]]=$A38,0)),"")</f>
        <v/>
      </c>
      <c r="I38" t="str" cm="1">
        <f t="array" ref="I38">IF(IFERROR(MAX(_xlfn._xlws.FILTER(Tabla1[[#Data],[AcX]],Tabla1[[ID]:[ID]]=$A38,0)),"")=0,"",IFERROR(MAX(_xlfn._xlws.FILTER(Tabla1[[#Data],[AcX]],Tabla1[[ID]:[ID]]=$A38,0)),""))</f>
        <v/>
      </c>
      <c r="J38" t="str" cm="1">
        <f t="array" ref="J38">IF(IFERROR(MIN(_xlfn._xlws.FILTER(Tabla1[[#Data],[AcX]],Tabla1[[ID]:[ID]]=$A38,0)),"")=0,"",IFERROR(MIN(_xlfn._xlws.FILTER(Tabla1[[#Data],[AcX]],Tabla1[[ID]:[ID]]=$A38,0)),""))</f>
        <v/>
      </c>
      <c r="K38" t="str" cm="1">
        <f t="array" ref="K38">IFERROR(AVERAGE(_xlfn._xlws.FILTER(Tabla1[[#Data],[AcY]],Tabla1[[ID]:[ID]]=$A38,0)),"")</f>
        <v/>
      </c>
      <c r="L38" t="str" cm="1">
        <f t="array" ref="L38">IF(IFERROR(MAX(_xlfn._xlws.FILTER(Tabla1[[#Data],[AcY]],Tabla1[[ID]:[ID]]=$A38,0)),"")=0,"",IFERROR(MAX(_xlfn._xlws.FILTER(Tabla1[[#Data],[AcY]],Tabla1[[ID]:[ID]]=$A38,0)),""))</f>
        <v/>
      </c>
      <c r="M38" t="str" cm="1">
        <f t="array" ref="M38">IF(IFERROR(MIN(_xlfn._xlws.FILTER(Tabla1[[#Data],[AcY]],Tabla1[[ID]:[ID]]=$A38,0)),"")=0,"",IFERROR(MIN(_xlfn._xlws.FILTER(Tabla1[[#Data],[AcY]],Tabla1[[ID]:[ID]]=$A38,0)),""))</f>
        <v/>
      </c>
      <c r="N38" t="str" cm="1">
        <f t="array" ref="N38">IFERROR(AVERAGE(_xlfn._xlws.FILTER(Tabla1[[#Data],[AcZ]],Tabla1[[ID]:[ID]]=$A38,0)),"")</f>
        <v/>
      </c>
      <c r="O38" t="str" cm="1">
        <f t="array" ref="O38">IF(IFERROR(MAX(_xlfn._xlws.FILTER(Tabla1[[#Data],[AcZ]],Tabla1[[ID]:[ID]]=$A38,0)),"")=0,"",IFERROR(MAX(_xlfn._xlws.FILTER(Tabla1[[#Data],[AcZ]],Tabla1[[ID]:[ID]]=$A38,0)),""))</f>
        <v/>
      </c>
      <c r="P38" t="str" cm="1">
        <f t="array" ref="P38">IF(IFERROR(MIN(_xlfn._xlws.FILTER(Tabla1[[#Data],[AcZ]],Tabla1[[ID]:[ID]]=$A38,0)),"")=0,"",IFERROR(MIN(_xlfn._xlws.FILTER(Tabla1[[#Data],[AcZ]],Tabla1[[ID]:[ID]]=$A38,0)),""))</f>
        <v/>
      </c>
      <c r="Q38" t="str" cm="1">
        <f t="array" ref="Q38">IFERROR(AVERAGE(_xlfn._xlws.FILTER(Tabla1[[#Data],[GyX]],Tabla1[[ID]:[ID]]=$A38,0)),"")</f>
        <v/>
      </c>
      <c r="R38" t="str" cm="1">
        <f t="array" ref="R38">IF(IFERROR(MAX(_xlfn._xlws.FILTER(Tabla1[[#Data],[GyX]],Tabla1[[ID]:[ID]]=$A38,0)),"")=0,"",IFERROR(MAX(_xlfn._xlws.FILTER(Tabla1[[#Data],[GyX]],Tabla1[[ID]:[ID]]=$A38,0)),""))</f>
        <v/>
      </c>
      <c r="S38" t="str" cm="1">
        <f t="array" ref="S38">IF(IFERROR(MIN(_xlfn._xlws.FILTER(Tabla1[[#Data],[GyX]],Tabla1[[ID]:[ID]]=$A38,0)),"")=0,"",IFERROR(MIN(_xlfn._xlws.FILTER(Tabla1[[#Data],[GyX]],Tabla1[[ID]:[ID]]=$A38,0)),""))</f>
        <v/>
      </c>
      <c r="T38" t="str" cm="1">
        <f t="array" ref="T38">IFERROR(AVERAGE(_xlfn._xlws.FILTER(Tabla1[[#Data],[GyY]],Tabla1[[ID]:[ID]]=$A38,0)),"")</f>
        <v/>
      </c>
      <c r="U38" t="str" cm="1">
        <f t="array" ref="U38">IF(IFERROR(MAX(_xlfn._xlws.FILTER(Tabla1[[#Data],[GyY]],Tabla1[[ID]:[ID]]=$A38,0)),"")=0,"",IFERROR(MAX(_xlfn._xlws.FILTER(Tabla1[[#Data],[GyY]],Tabla1[[ID]:[ID]]=$A38,0)),""))</f>
        <v/>
      </c>
      <c r="V38" t="str" cm="1">
        <f t="array" ref="V38">IF(IFERROR(MIN(_xlfn._xlws.FILTER(Tabla1[[#Data],[GyY]],Tabla1[[ID]:[ID]]=$A38,0)),"")=0,"",IFERROR(MIN(_xlfn._xlws.FILTER(Tabla1[[#Data],[GyY]],Tabla1[[ID]:[ID]]=$A38,0)),""))</f>
        <v/>
      </c>
      <c r="W38" t="str" cm="1">
        <f t="array" ref="W38">IFERROR(AVERAGE(_xlfn._xlws.FILTER(Tabla1[[#Data],[GyZ]],Tabla1[[ID]:[ID]]=$A38,0)),"")</f>
        <v/>
      </c>
      <c r="X38" t="str" cm="1">
        <f t="array" ref="X38">IF(IFERROR(MAX(_xlfn._xlws.FILTER(Tabla1[[#Data],[GyZ]],Tabla1[[ID]:[ID]]=$A38,0)),"")=0,"",IFERROR(MAX(_xlfn._xlws.FILTER(Tabla1[[#Data],[GyZ]],Tabla1[[ID]:[ID]]=$A38,0)),""))</f>
        <v/>
      </c>
      <c r="Y38" t="str" cm="1">
        <f t="array" ref="Y38">IF(IFERROR(MIN(_xlfn._xlws.FILTER(Tabla1[[#Data],[GyZ]],Tabla1[[ID]:[ID]]=$A38,0)),"")=0,"",IFERROR(MIN(_xlfn._xlws.FILTER(Tabla1[[#Data],[GyZ]],Tabla1[[ID]:[ID]]=$A38,0)),""))</f>
        <v/>
      </c>
      <c r="Z38" t="str" cm="1">
        <f t="array" ref="Z38">IF(ISNUMBER(A38),IF(ISNUMBER(MATCH(1,_xlfn._xlws.FILTER(Tabla1[[#Data],[Open]],Tabla1[[ID]:[ID]]=$A38,""))),1,0),"")</f>
        <v/>
      </c>
      <c r="AA38" t="str">
        <f t="shared" si="0"/>
        <v/>
      </c>
      <c r="AB38" t="str">
        <f t="shared" si="1"/>
        <v/>
      </c>
      <c r="AC38" t="str">
        <f t="shared" si="2"/>
        <v/>
      </c>
      <c r="AD38" t="str">
        <f t="shared" si="3"/>
        <v/>
      </c>
      <c r="AE38" t="str">
        <f t="shared" si="4"/>
        <v/>
      </c>
      <c r="AF38" t="str">
        <f t="shared" si="5"/>
        <v/>
      </c>
      <c r="AG38" t="str">
        <f t="shared" si="6"/>
        <v/>
      </c>
      <c r="AH38" t="str">
        <f t="shared" si="7"/>
        <v/>
      </c>
      <c r="AI38" t="str">
        <f t="shared" si="8"/>
        <v/>
      </c>
      <c r="AJ38" t="str">
        <f t="shared" si="9"/>
        <v/>
      </c>
    </row>
    <row r="39" spans="2:36" x14ac:dyDescent="0.35">
      <c r="B39" t="str" cm="1">
        <f t="array" ref="B39">IFERROR(AVERAGE(_xlfn._xlws.FILTER(Tabla1[[#Data],[Temperatura]],Tabla1[[ID]:[ID]]=$A39,0)),"")</f>
        <v/>
      </c>
      <c r="C39" t="str" cm="1">
        <f t="array" ref="C39">IF(IFERROR(MAX(_xlfn._xlws.FILTER(Tabla1[[#Data],[Temperatura]],Tabla1[[ID]:[ID]]=$A39,0)),"")=0,"",IFERROR(MAX(_xlfn._xlws.FILTER(Tabla1[[#Data],[Temperatura]],Tabla1[[ID]:[ID]]=$A39,0)),""))</f>
        <v/>
      </c>
      <c r="D39" t="str" cm="1">
        <f t="array" ref="D39">IF(IFERROR(MIN(_xlfn._xlws.FILTER(Tabla1[[#Data],[Temperatura]],Tabla1[[ID]:[ID]]=$A39,0)),"")=0,"",IFERROR(MIN(_xlfn._xlws.FILTER(Tabla1[[#Data],[Temperatura]],Tabla1[[ID]:[ID]]=$A39,0)),""))</f>
        <v/>
      </c>
      <c r="E39" t="str" cm="1">
        <f t="array" ref="E39">IFERROR(AVERAGE(_xlfn._xlws.FILTER(Tabla1[[#Data],[Humidade]],Tabla1[[ID]:[ID]]=$A39,0)),"")</f>
        <v/>
      </c>
      <c r="F39" t="str" cm="1">
        <f t="array" ref="F39">IF(IFERROR(MAX(_xlfn._xlws.FILTER(Tabla1[[#Data],[Humidade]],Tabla1[[ID]:[ID]]=$A39,0)),"")=0,"",IFERROR(MAX(_xlfn._xlws.FILTER(Tabla1[[#Data],[Humidade]],Tabla1[[ID]:[ID]]=$A39,0)),""))</f>
        <v/>
      </c>
      <c r="G39" t="str" cm="1">
        <f t="array" ref="G39">IF(IFERROR(MIN(_xlfn._xlws.FILTER(Tabla1[[#Data],[Humidade]],Tabla1[[ID]:[ID]]=$A39,0)),"")=0,"",IFERROR(MIN(_xlfn._xlws.FILTER(Tabla1[[#Data],[Humidade]],Tabla1[[ID]:[ID]]=$A39,0)),""))</f>
        <v/>
      </c>
      <c r="H39" t="str" cm="1">
        <f t="array" ref="H39">IFERROR(AVERAGE(_xlfn._xlws.FILTER(Tabla1[[#Data],[AcX]],Tabla1[[ID]:[ID]]=$A39,0)),"")</f>
        <v/>
      </c>
      <c r="I39" t="str" cm="1">
        <f t="array" ref="I39">IF(IFERROR(MAX(_xlfn._xlws.FILTER(Tabla1[[#Data],[AcX]],Tabla1[[ID]:[ID]]=$A39,0)),"")=0,"",IFERROR(MAX(_xlfn._xlws.FILTER(Tabla1[[#Data],[AcX]],Tabla1[[ID]:[ID]]=$A39,0)),""))</f>
        <v/>
      </c>
      <c r="J39" t="str" cm="1">
        <f t="array" ref="J39">IF(IFERROR(MIN(_xlfn._xlws.FILTER(Tabla1[[#Data],[AcX]],Tabla1[[ID]:[ID]]=$A39,0)),"")=0,"",IFERROR(MIN(_xlfn._xlws.FILTER(Tabla1[[#Data],[AcX]],Tabla1[[ID]:[ID]]=$A39,0)),""))</f>
        <v/>
      </c>
      <c r="K39" t="str" cm="1">
        <f t="array" ref="K39">IFERROR(AVERAGE(_xlfn._xlws.FILTER(Tabla1[[#Data],[AcY]],Tabla1[[ID]:[ID]]=$A39,0)),"")</f>
        <v/>
      </c>
      <c r="L39" t="str" cm="1">
        <f t="array" ref="L39">IF(IFERROR(MAX(_xlfn._xlws.FILTER(Tabla1[[#Data],[AcY]],Tabla1[[ID]:[ID]]=$A39,0)),"")=0,"",IFERROR(MAX(_xlfn._xlws.FILTER(Tabla1[[#Data],[AcY]],Tabla1[[ID]:[ID]]=$A39,0)),""))</f>
        <v/>
      </c>
      <c r="M39" t="str" cm="1">
        <f t="array" ref="M39">IF(IFERROR(MIN(_xlfn._xlws.FILTER(Tabla1[[#Data],[AcY]],Tabla1[[ID]:[ID]]=$A39,0)),"")=0,"",IFERROR(MIN(_xlfn._xlws.FILTER(Tabla1[[#Data],[AcY]],Tabla1[[ID]:[ID]]=$A39,0)),""))</f>
        <v/>
      </c>
      <c r="N39" t="str" cm="1">
        <f t="array" ref="N39">IFERROR(AVERAGE(_xlfn._xlws.FILTER(Tabla1[[#Data],[AcZ]],Tabla1[[ID]:[ID]]=$A39,0)),"")</f>
        <v/>
      </c>
      <c r="O39" t="str" cm="1">
        <f t="array" ref="O39">IF(IFERROR(MAX(_xlfn._xlws.FILTER(Tabla1[[#Data],[AcZ]],Tabla1[[ID]:[ID]]=$A39,0)),"")=0,"",IFERROR(MAX(_xlfn._xlws.FILTER(Tabla1[[#Data],[AcZ]],Tabla1[[ID]:[ID]]=$A39,0)),""))</f>
        <v/>
      </c>
      <c r="P39" t="str" cm="1">
        <f t="array" ref="P39">IF(IFERROR(MIN(_xlfn._xlws.FILTER(Tabla1[[#Data],[AcZ]],Tabla1[[ID]:[ID]]=$A39,0)),"")=0,"",IFERROR(MIN(_xlfn._xlws.FILTER(Tabla1[[#Data],[AcZ]],Tabla1[[ID]:[ID]]=$A39,0)),""))</f>
        <v/>
      </c>
      <c r="Q39" t="str" cm="1">
        <f t="array" ref="Q39">IFERROR(AVERAGE(_xlfn._xlws.FILTER(Tabla1[[#Data],[GyX]],Tabla1[[ID]:[ID]]=$A39,0)),"")</f>
        <v/>
      </c>
      <c r="R39" t="str" cm="1">
        <f t="array" ref="R39">IF(IFERROR(MAX(_xlfn._xlws.FILTER(Tabla1[[#Data],[GyX]],Tabla1[[ID]:[ID]]=$A39,0)),"")=0,"",IFERROR(MAX(_xlfn._xlws.FILTER(Tabla1[[#Data],[GyX]],Tabla1[[ID]:[ID]]=$A39,0)),""))</f>
        <v/>
      </c>
      <c r="S39" t="str" cm="1">
        <f t="array" ref="S39">IF(IFERROR(MIN(_xlfn._xlws.FILTER(Tabla1[[#Data],[GyX]],Tabla1[[ID]:[ID]]=$A39,0)),"")=0,"",IFERROR(MIN(_xlfn._xlws.FILTER(Tabla1[[#Data],[GyX]],Tabla1[[ID]:[ID]]=$A39,0)),""))</f>
        <v/>
      </c>
      <c r="T39" t="str" cm="1">
        <f t="array" ref="T39">IFERROR(AVERAGE(_xlfn._xlws.FILTER(Tabla1[[#Data],[GyY]],Tabla1[[ID]:[ID]]=$A39,0)),"")</f>
        <v/>
      </c>
      <c r="U39" t="str" cm="1">
        <f t="array" ref="U39">IF(IFERROR(MAX(_xlfn._xlws.FILTER(Tabla1[[#Data],[GyY]],Tabla1[[ID]:[ID]]=$A39,0)),"")=0,"",IFERROR(MAX(_xlfn._xlws.FILTER(Tabla1[[#Data],[GyY]],Tabla1[[ID]:[ID]]=$A39,0)),""))</f>
        <v/>
      </c>
      <c r="V39" t="str" cm="1">
        <f t="array" ref="V39">IF(IFERROR(MIN(_xlfn._xlws.FILTER(Tabla1[[#Data],[GyY]],Tabla1[[ID]:[ID]]=$A39,0)),"")=0,"",IFERROR(MIN(_xlfn._xlws.FILTER(Tabla1[[#Data],[GyY]],Tabla1[[ID]:[ID]]=$A39,0)),""))</f>
        <v/>
      </c>
      <c r="W39" t="str" cm="1">
        <f t="array" ref="W39">IFERROR(AVERAGE(_xlfn._xlws.FILTER(Tabla1[[#Data],[GyZ]],Tabla1[[ID]:[ID]]=$A39,0)),"")</f>
        <v/>
      </c>
      <c r="X39" t="str" cm="1">
        <f t="array" ref="X39">IF(IFERROR(MAX(_xlfn._xlws.FILTER(Tabla1[[#Data],[GyZ]],Tabla1[[ID]:[ID]]=$A39,0)),"")=0,"",IFERROR(MAX(_xlfn._xlws.FILTER(Tabla1[[#Data],[GyZ]],Tabla1[[ID]:[ID]]=$A39,0)),""))</f>
        <v/>
      </c>
      <c r="Y39" t="str" cm="1">
        <f t="array" ref="Y39">IF(IFERROR(MIN(_xlfn._xlws.FILTER(Tabla1[[#Data],[GyZ]],Tabla1[[ID]:[ID]]=$A39,0)),"")=0,"",IFERROR(MIN(_xlfn._xlws.FILTER(Tabla1[[#Data],[GyZ]],Tabla1[[ID]:[ID]]=$A39,0)),""))</f>
        <v/>
      </c>
      <c r="Z39" t="str" cm="1">
        <f t="array" ref="Z39">IF(ISNUMBER(A39),IF(ISNUMBER(MATCH(1,_xlfn._xlws.FILTER(Tabla1[[#Data],[Open]],Tabla1[[ID]:[ID]]=$A39,""))),1,0),"")</f>
        <v/>
      </c>
      <c r="AA39" t="str">
        <f t="shared" si="0"/>
        <v/>
      </c>
      <c r="AB39" t="str">
        <f t="shared" si="1"/>
        <v/>
      </c>
      <c r="AC39" t="str">
        <f t="shared" si="2"/>
        <v/>
      </c>
      <c r="AD39" t="str">
        <f t="shared" si="3"/>
        <v/>
      </c>
      <c r="AE39" t="str">
        <f t="shared" si="4"/>
        <v/>
      </c>
      <c r="AF39" t="str">
        <f t="shared" si="5"/>
        <v/>
      </c>
      <c r="AG39" t="str">
        <f t="shared" si="6"/>
        <v/>
      </c>
      <c r="AH39" t="str">
        <f t="shared" si="7"/>
        <v/>
      </c>
      <c r="AI39" t="str">
        <f t="shared" si="8"/>
        <v/>
      </c>
      <c r="AJ39" t="str">
        <f t="shared" si="9"/>
        <v/>
      </c>
    </row>
    <row r="40" spans="2:36" x14ac:dyDescent="0.35">
      <c r="B40" t="str" cm="1">
        <f t="array" ref="B40">IFERROR(AVERAGE(_xlfn._xlws.FILTER(Tabla1[[#Data],[Temperatura]],Tabla1[[ID]:[ID]]=$A40,0)),"")</f>
        <v/>
      </c>
      <c r="C40" t="str" cm="1">
        <f t="array" ref="C40">IF(IFERROR(MAX(_xlfn._xlws.FILTER(Tabla1[[#Data],[Temperatura]],Tabla1[[ID]:[ID]]=$A40,0)),"")=0,"",IFERROR(MAX(_xlfn._xlws.FILTER(Tabla1[[#Data],[Temperatura]],Tabla1[[ID]:[ID]]=$A40,0)),""))</f>
        <v/>
      </c>
      <c r="D40" t="str" cm="1">
        <f t="array" ref="D40">IF(IFERROR(MIN(_xlfn._xlws.FILTER(Tabla1[[#Data],[Temperatura]],Tabla1[[ID]:[ID]]=$A40,0)),"")=0,"",IFERROR(MIN(_xlfn._xlws.FILTER(Tabla1[[#Data],[Temperatura]],Tabla1[[ID]:[ID]]=$A40,0)),""))</f>
        <v/>
      </c>
      <c r="E40" t="str" cm="1">
        <f t="array" ref="E40">IFERROR(AVERAGE(_xlfn._xlws.FILTER(Tabla1[[#Data],[Humidade]],Tabla1[[ID]:[ID]]=$A40,0)),"")</f>
        <v/>
      </c>
      <c r="F40" t="str" cm="1">
        <f t="array" ref="F40">IF(IFERROR(MAX(_xlfn._xlws.FILTER(Tabla1[[#Data],[Humidade]],Tabla1[[ID]:[ID]]=$A40,0)),"")=0,"",IFERROR(MAX(_xlfn._xlws.FILTER(Tabla1[[#Data],[Humidade]],Tabla1[[ID]:[ID]]=$A40,0)),""))</f>
        <v/>
      </c>
      <c r="G40" t="str" cm="1">
        <f t="array" ref="G40">IF(IFERROR(MIN(_xlfn._xlws.FILTER(Tabla1[[#Data],[Humidade]],Tabla1[[ID]:[ID]]=$A40,0)),"")=0,"",IFERROR(MIN(_xlfn._xlws.FILTER(Tabla1[[#Data],[Humidade]],Tabla1[[ID]:[ID]]=$A40,0)),""))</f>
        <v/>
      </c>
      <c r="H40" t="str" cm="1">
        <f t="array" ref="H40">IFERROR(AVERAGE(_xlfn._xlws.FILTER(Tabla1[[#Data],[AcX]],Tabla1[[ID]:[ID]]=$A40,0)),"")</f>
        <v/>
      </c>
      <c r="I40" t="str" cm="1">
        <f t="array" ref="I40">IF(IFERROR(MAX(_xlfn._xlws.FILTER(Tabla1[[#Data],[AcX]],Tabla1[[ID]:[ID]]=$A40,0)),"")=0,"",IFERROR(MAX(_xlfn._xlws.FILTER(Tabla1[[#Data],[AcX]],Tabla1[[ID]:[ID]]=$A40,0)),""))</f>
        <v/>
      </c>
      <c r="J40" t="str" cm="1">
        <f t="array" ref="J40">IF(IFERROR(MIN(_xlfn._xlws.FILTER(Tabla1[[#Data],[AcX]],Tabla1[[ID]:[ID]]=$A40,0)),"")=0,"",IFERROR(MIN(_xlfn._xlws.FILTER(Tabla1[[#Data],[AcX]],Tabla1[[ID]:[ID]]=$A40,0)),""))</f>
        <v/>
      </c>
      <c r="K40" t="str" cm="1">
        <f t="array" ref="K40">IFERROR(AVERAGE(_xlfn._xlws.FILTER(Tabla1[[#Data],[AcY]],Tabla1[[ID]:[ID]]=$A40,0)),"")</f>
        <v/>
      </c>
      <c r="L40" t="str" cm="1">
        <f t="array" ref="L40">IF(IFERROR(MAX(_xlfn._xlws.FILTER(Tabla1[[#Data],[AcY]],Tabla1[[ID]:[ID]]=$A40,0)),"")=0,"",IFERROR(MAX(_xlfn._xlws.FILTER(Tabla1[[#Data],[AcY]],Tabla1[[ID]:[ID]]=$A40,0)),""))</f>
        <v/>
      </c>
      <c r="M40" t="str" cm="1">
        <f t="array" ref="M40">IF(IFERROR(MIN(_xlfn._xlws.FILTER(Tabla1[[#Data],[AcY]],Tabla1[[ID]:[ID]]=$A40,0)),"")=0,"",IFERROR(MIN(_xlfn._xlws.FILTER(Tabla1[[#Data],[AcY]],Tabla1[[ID]:[ID]]=$A40,0)),""))</f>
        <v/>
      </c>
      <c r="N40" t="str" cm="1">
        <f t="array" ref="N40">IFERROR(AVERAGE(_xlfn._xlws.FILTER(Tabla1[[#Data],[AcZ]],Tabla1[[ID]:[ID]]=$A40,0)),"")</f>
        <v/>
      </c>
      <c r="O40" t="str" cm="1">
        <f t="array" ref="O40">IF(IFERROR(MAX(_xlfn._xlws.FILTER(Tabla1[[#Data],[AcZ]],Tabla1[[ID]:[ID]]=$A40,0)),"")=0,"",IFERROR(MAX(_xlfn._xlws.FILTER(Tabla1[[#Data],[AcZ]],Tabla1[[ID]:[ID]]=$A40,0)),""))</f>
        <v/>
      </c>
      <c r="P40" t="str" cm="1">
        <f t="array" ref="P40">IF(IFERROR(MIN(_xlfn._xlws.FILTER(Tabla1[[#Data],[AcZ]],Tabla1[[ID]:[ID]]=$A40,0)),"")=0,"",IFERROR(MIN(_xlfn._xlws.FILTER(Tabla1[[#Data],[AcZ]],Tabla1[[ID]:[ID]]=$A40,0)),""))</f>
        <v/>
      </c>
      <c r="Q40" t="str" cm="1">
        <f t="array" ref="Q40">IFERROR(AVERAGE(_xlfn._xlws.FILTER(Tabla1[[#Data],[GyX]],Tabla1[[ID]:[ID]]=$A40,0)),"")</f>
        <v/>
      </c>
      <c r="R40" t="str" cm="1">
        <f t="array" ref="R40">IF(IFERROR(MAX(_xlfn._xlws.FILTER(Tabla1[[#Data],[GyX]],Tabla1[[ID]:[ID]]=$A40,0)),"")=0,"",IFERROR(MAX(_xlfn._xlws.FILTER(Tabla1[[#Data],[GyX]],Tabla1[[ID]:[ID]]=$A40,0)),""))</f>
        <v/>
      </c>
      <c r="S40" t="str" cm="1">
        <f t="array" ref="S40">IF(IFERROR(MIN(_xlfn._xlws.FILTER(Tabla1[[#Data],[GyX]],Tabla1[[ID]:[ID]]=$A40,0)),"")=0,"",IFERROR(MIN(_xlfn._xlws.FILTER(Tabla1[[#Data],[GyX]],Tabla1[[ID]:[ID]]=$A40,0)),""))</f>
        <v/>
      </c>
      <c r="T40" t="str" cm="1">
        <f t="array" ref="T40">IFERROR(AVERAGE(_xlfn._xlws.FILTER(Tabla1[[#Data],[GyY]],Tabla1[[ID]:[ID]]=$A40,0)),"")</f>
        <v/>
      </c>
      <c r="U40" t="str" cm="1">
        <f t="array" ref="U40">IF(IFERROR(MAX(_xlfn._xlws.FILTER(Tabla1[[#Data],[GyY]],Tabla1[[ID]:[ID]]=$A40,0)),"")=0,"",IFERROR(MAX(_xlfn._xlws.FILTER(Tabla1[[#Data],[GyY]],Tabla1[[ID]:[ID]]=$A40,0)),""))</f>
        <v/>
      </c>
      <c r="V40" t="str" cm="1">
        <f t="array" ref="V40">IF(IFERROR(MIN(_xlfn._xlws.FILTER(Tabla1[[#Data],[GyY]],Tabla1[[ID]:[ID]]=$A40,0)),"")=0,"",IFERROR(MIN(_xlfn._xlws.FILTER(Tabla1[[#Data],[GyY]],Tabla1[[ID]:[ID]]=$A40,0)),""))</f>
        <v/>
      </c>
      <c r="W40" t="str" cm="1">
        <f t="array" ref="W40">IFERROR(AVERAGE(_xlfn._xlws.FILTER(Tabla1[[#Data],[GyZ]],Tabla1[[ID]:[ID]]=$A40,0)),"")</f>
        <v/>
      </c>
      <c r="X40" t="str" cm="1">
        <f t="array" ref="X40">IF(IFERROR(MAX(_xlfn._xlws.FILTER(Tabla1[[#Data],[GyZ]],Tabla1[[ID]:[ID]]=$A40,0)),"")=0,"",IFERROR(MAX(_xlfn._xlws.FILTER(Tabla1[[#Data],[GyZ]],Tabla1[[ID]:[ID]]=$A40,0)),""))</f>
        <v/>
      </c>
      <c r="Y40" t="str" cm="1">
        <f t="array" ref="Y40">IF(IFERROR(MIN(_xlfn._xlws.FILTER(Tabla1[[#Data],[GyZ]],Tabla1[[ID]:[ID]]=$A40,0)),"")=0,"",IFERROR(MIN(_xlfn._xlws.FILTER(Tabla1[[#Data],[GyZ]],Tabla1[[ID]:[ID]]=$A40,0)),""))</f>
        <v/>
      </c>
      <c r="Z40" t="str" cm="1">
        <f t="array" ref="Z40">IF(ISNUMBER(A40),IF(ISNUMBER(MATCH(1,_xlfn._xlws.FILTER(Tabla1[[#Data],[Open]],Tabla1[[ID]:[ID]]=$A40,""))),1,0),"")</f>
        <v/>
      </c>
      <c r="AA40" t="str">
        <f t="shared" si="0"/>
        <v/>
      </c>
      <c r="AB40" t="str">
        <f t="shared" si="1"/>
        <v/>
      </c>
      <c r="AC40" t="str">
        <f t="shared" si="2"/>
        <v/>
      </c>
      <c r="AD40" t="str">
        <f t="shared" si="3"/>
        <v/>
      </c>
      <c r="AE40" t="str">
        <f t="shared" si="4"/>
        <v/>
      </c>
      <c r="AF40" t="str">
        <f t="shared" si="5"/>
        <v/>
      </c>
      <c r="AG40" t="str">
        <f t="shared" si="6"/>
        <v/>
      </c>
      <c r="AH40" t="str">
        <f t="shared" si="7"/>
        <v/>
      </c>
      <c r="AI40" t="str">
        <f t="shared" si="8"/>
        <v/>
      </c>
      <c r="AJ40" t="str">
        <f t="shared" si="9"/>
        <v/>
      </c>
    </row>
    <row r="41" spans="2:36" x14ac:dyDescent="0.35">
      <c r="B41" t="str" cm="1">
        <f t="array" ref="B41">IFERROR(AVERAGE(_xlfn._xlws.FILTER(Tabla1[[#Data],[Temperatura]],Tabla1[[ID]:[ID]]=$A41,0)),"")</f>
        <v/>
      </c>
      <c r="C41" t="str" cm="1">
        <f t="array" ref="C41">IF(IFERROR(MAX(_xlfn._xlws.FILTER(Tabla1[[#Data],[Temperatura]],Tabla1[[ID]:[ID]]=$A41,0)),"")=0,"",IFERROR(MAX(_xlfn._xlws.FILTER(Tabla1[[#Data],[Temperatura]],Tabla1[[ID]:[ID]]=$A41,0)),""))</f>
        <v/>
      </c>
      <c r="D41" t="str" cm="1">
        <f t="array" ref="D41">IF(IFERROR(MIN(_xlfn._xlws.FILTER(Tabla1[[#Data],[Temperatura]],Tabla1[[ID]:[ID]]=$A41,0)),"")=0,"",IFERROR(MIN(_xlfn._xlws.FILTER(Tabla1[[#Data],[Temperatura]],Tabla1[[ID]:[ID]]=$A41,0)),""))</f>
        <v/>
      </c>
      <c r="E41" t="str" cm="1">
        <f t="array" ref="E41">IFERROR(AVERAGE(_xlfn._xlws.FILTER(Tabla1[[#Data],[Humidade]],Tabla1[[ID]:[ID]]=$A41,0)),"")</f>
        <v/>
      </c>
      <c r="F41" t="str" cm="1">
        <f t="array" ref="F41">IF(IFERROR(MAX(_xlfn._xlws.FILTER(Tabla1[[#Data],[Humidade]],Tabla1[[ID]:[ID]]=$A41,0)),"")=0,"",IFERROR(MAX(_xlfn._xlws.FILTER(Tabla1[[#Data],[Humidade]],Tabla1[[ID]:[ID]]=$A41,0)),""))</f>
        <v/>
      </c>
      <c r="G41" t="str" cm="1">
        <f t="array" ref="G41">IF(IFERROR(MIN(_xlfn._xlws.FILTER(Tabla1[[#Data],[Humidade]],Tabla1[[ID]:[ID]]=$A41,0)),"")=0,"",IFERROR(MIN(_xlfn._xlws.FILTER(Tabla1[[#Data],[Humidade]],Tabla1[[ID]:[ID]]=$A41,0)),""))</f>
        <v/>
      </c>
      <c r="H41" t="str" cm="1">
        <f t="array" ref="H41">IFERROR(AVERAGE(_xlfn._xlws.FILTER(Tabla1[[#Data],[AcX]],Tabla1[[ID]:[ID]]=$A41,0)),"")</f>
        <v/>
      </c>
      <c r="I41" t="str" cm="1">
        <f t="array" ref="I41">IF(IFERROR(MAX(_xlfn._xlws.FILTER(Tabla1[[#Data],[AcX]],Tabla1[[ID]:[ID]]=$A41,0)),"")=0,"",IFERROR(MAX(_xlfn._xlws.FILTER(Tabla1[[#Data],[AcX]],Tabla1[[ID]:[ID]]=$A41,0)),""))</f>
        <v/>
      </c>
      <c r="J41" t="str" cm="1">
        <f t="array" ref="J41">IF(IFERROR(MIN(_xlfn._xlws.FILTER(Tabla1[[#Data],[AcX]],Tabla1[[ID]:[ID]]=$A41,0)),"")=0,"",IFERROR(MIN(_xlfn._xlws.FILTER(Tabla1[[#Data],[AcX]],Tabla1[[ID]:[ID]]=$A41,0)),""))</f>
        <v/>
      </c>
      <c r="K41" t="str" cm="1">
        <f t="array" ref="K41">IFERROR(AVERAGE(_xlfn._xlws.FILTER(Tabla1[[#Data],[AcY]],Tabla1[[ID]:[ID]]=$A41,0)),"")</f>
        <v/>
      </c>
      <c r="L41" t="str" cm="1">
        <f t="array" ref="L41">IF(IFERROR(MAX(_xlfn._xlws.FILTER(Tabla1[[#Data],[AcY]],Tabla1[[ID]:[ID]]=$A41,0)),"")=0,"",IFERROR(MAX(_xlfn._xlws.FILTER(Tabla1[[#Data],[AcY]],Tabla1[[ID]:[ID]]=$A41,0)),""))</f>
        <v/>
      </c>
      <c r="M41" t="str" cm="1">
        <f t="array" ref="M41">IF(IFERROR(MIN(_xlfn._xlws.FILTER(Tabla1[[#Data],[AcY]],Tabla1[[ID]:[ID]]=$A41,0)),"")=0,"",IFERROR(MIN(_xlfn._xlws.FILTER(Tabla1[[#Data],[AcY]],Tabla1[[ID]:[ID]]=$A41,0)),""))</f>
        <v/>
      </c>
      <c r="N41" t="str" cm="1">
        <f t="array" ref="N41">IFERROR(AVERAGE(_xlfn._xlws.FILTER(Tabla1[[#Data],[AcZ]],Tabla1[[ID]:[ID]]=$A41,0)),"")</f>
        <v/>
      </c>
      <c r="O41" t="str" cm="1">
        <f t="array" ref="O41">IF(IFERROR(MAX(_xlfn._xlws.FILTER(Tabla1[[#Data],[AcZ]],Tabla1[[ID]:[ID]]=$A41,0)),"")=0,"",IFERROR(MAX(_xlfn._xlws.FILTER(Tabla1[[#Data],[AcZ]],Tabla1[[ID]:[ID]]=$A41,0)),""))</f>
        <v/>
      </c>
      <c r="P41" t="str" cm="1">
        <f t="array" ref="P41">IF(IFERROR(MIN(_xlfn._xlws.FILTER(Tabla1[[#Data],[AcZ]],Tabla1[[ID]:[ID]]=$A41,0)),"")=0,"",IFERROR(MIN(_xlfn._xlws.FILTER(Tabla1[[#Data],[AcZ]],Tabla1[[ID]:[ID]]=$A41,0)),""))</f>
        <v/>
      </c>
      <c r="Q41" t="str" cm="1">
        <f t="array" ref="Q41">IFERROR(AVERAGE(_xlfn._xlws.FILTER(Tabla1[[#Data],[GyX]],Tabla1[[ID]:[ID]]=$A41,0)),"")</f>
        <v/>
      </c>
      <c r="R41" t="str" cm="1">
        <f t="array" ref="R41">IF(IFERROR(MAX(_xlfn._xlws.FILTER(Tabla1[[#Data],[GyX]],Tabla1[[ID]:[ID]]=$A41,0)),"")=0,"",IFERROR(MAX(_xlfn._xlws.FILTER(Tabla1[[#Data],[GyX]],Tabla1[[ID]:[ID]]=$A41,0)),""))</f>
        <v/>
      </c>
      <c r="S41" t="str" cm="1">
        <f t="array" ref="S41">IF(IFERROR(MIN(_xlfn._xlws.FILTER(Tabla1[[#Data],[GyX]],Tabla1[[ID]:[ID]]=$A41,0)),"")=0,"",IFERROR(MIN(_xlfn._xlws.FILTER(Tabla1[[#Data],[GyX]],Tabla1[[ID]:[ID]]=$A41,0)),""))</f>
        <v/>
      </c>
      <c r="T41" t="str" cm="1">
        <f t="array" ref="T41">IFERROR(AVERAGE(_xlfn._xlws.FILTER(Tabla1[[#Data],[GyY]],Tabla1[[ID]:[ID]]=$A41,0)),"")</f>
        <v/>
      </c>
      <c r="U41" t="str" cm="1">
        <f t="array" ref="U41">IF(IFERROR(MAX(_xlfn._xlws.FILTER(Tabla1[[#Data],[GyY]],Tabla1[[ID]:[ID]]=$A41,0)),"")=0,"",IFERROR(MAX(_xlfn._xlws.FILTER(Tabla1[[#Data],[GyY]],Tabla1[[ID]:[ID]]=$A41,0)),""))</f>
        <v/>
      </c>
      <c r="V41" t="str" cm="1">
        <f t="array" ref="V41">IF(IFERROR(MIN(_xlfn._xlws.FILTER(Tabla1[[#Data],[GyY]],Tabla1[[ID]:[ID]]=$A41,0)),"")=0,"",IFERROR(MIN(_xlfn._xlws.FILTER(Tabla1[[#Data],[GyY]],Tabla1[[ID]:[ID]]=$A41,0)),""))</f>
        <v/>
      </c>
      <c r="W41" t="str" cm="1">
        <f t="array" ref="W41">IFERROR(AVERAGE(_xlfn._xlws.FILTER(Tabla1[[#Data],[GyZ]],Tabla1[[ID]:[ID]]=$A41,0)),"")</f>
        <v/>
      </c>
      <c r="X41" t="str" cm="1">
        <f t="array" ref="X41">IF(IFERROR(MAX(_xlfn._xlws.FILTER(Tabla1[[#Data],[GyZ]],Tabla1[[ID]:[ID]]=$A41,0)),"")=0,"",IFERROR(MAX(_xlfn._xlws.FILTER(Tabla1[[#Data],[GyZ]],Tabla1[[ID]:[ID]]=$A41,0)),""))</f>
        <v/>
      </c>
      <c r="Y41" t="str" cm="1">
        <f t="array" ref="Y41">IF(IFERROR(MIN(_xlfn._xlws.FILTER(Tabla1[[#Data],[GyZ]],Tabla1[[ID]:[ID]]=$A41,0)),"")=0,"",IFERROR(MIN(_xlfn._xlws.FILTER(Tabla1[[#Data],[GyZ]],Tabla1[[ID]:[ID]]=$A41,0)),""))</f>
        <v/>
      </c>
      <c r="Z41" t="str" cm="1">
        <f t="array" ref="Z41">IF(ISNUMBER(A41),IF(ISNUMBER(MATCH(1,_xlfn._xlws.FILTER(Tabla1[[#Data],[Open]],Tabla1[[ID]:[ID]]=$A41,""))),1,0),"")</f>
        <v/>
      </c>
      <c r="AA41" t="str">
        <f t="shared" si="0"/>
        <v/>
      </c>
      <c r="AB41" t="str">
        <f t="shared" si="1"/>
        <v/>
      </c>
      <c r="AC41" t="str">
        <f t="shared" si="2"/>
        <v/>
      </c>
      <c r="AD41" t="str">
        <f t="shared" si="3"/>
        <v/>
      </c>
      <c r="AE41" t="str">
        <f t="shared" si="4"/>
        <v/>
      </c>
      <c r="AF41" t="str">
        <f t="shared" si="5"/>
        <v/>
      </c>
      <c r="AG41" t="str">
        <f t="shared" si="6"/>
        <v/>
      </c>
      <c r="AH41" t="str">
        <f t="shared" si="7"/>
        <v/>
      </c>
      <c r="AI41" t="str">
        <f t="shared" si="8"/>
        <v/>
      </c>
      <c r="AJ41" t="str">
        <f t="shared" si="9"/>
        <v/>
      </c>
    </row>
    <row r="42" spans="2:36" x14ac:dyDescent="0.35">
      <c r="B42" t="str" cm="1">
        <f t="array" ref="B42">IFERROR(AVERAGE(_xlfn._xlws.FILTER(Tabla1[[#Data],[Temperatura]],Tabla1[[ID]:[ID]]=$A42,0)),"")</f>
        <v/>
      </c>
      <c r="C42" t="str" cm="1">
        <f t="array" ref="C42">IF(IFERROR(MAX(_xlfn._xlws.FILTER(Tabla1[[#Data],[Temperatura]],Tabla1[[ID]:[ID]]=$A42,0)),"")=0,"",IFERROR(MAX(_xlfn._xlws.FILTER(Tabla1[[#Data],[Temperatura]],Tabla1[[ID]:[ID]]=$A42,0)),""))</f>
        <v/>
      </c>
      <c r="D42" t="str" cm="1">
        <f t="array" ref="D42">IF(IFERROR(MIN(_xlfn._xlws.FILTER(Tabla1[[#Data],[Temperatura]],Tabla1[[ID]:[ID]]=$A42,0)),"")=0,"",IFERROR(MIN(_xlfn._xlws.FILTER(Tabla1[[#Data],[Temperatura]],Tabla1[[ID]:[ID]]=$A42,0)),""))</f>
        <v/>
      </c>
      <c r="E42" t="str" cm="1">
        <f t="array" ref="E42">IFERROR(AVERAGE(_xlfn._xlws.FILTER(Tabla1[[#Data],[Humidade]],Tabla1[[ID]:[ID]]=$A42,0)),"")</f>
        <v/>
      </c>
      <c r="F42" t="str" cm="1">
        <f t="array" ref="F42">IF(IFERROR(MAX(_xlfn._xlws.FILTER(Tabla1[[#Data],[Humidade]],Tabla1[[ID]:[ID]]=$A42,0)),"")=0,"",IFERROR(MAX(_xlfn._xlws.FILTER(Tabla1[[#Data],[Humidade]],Tabla1[[ID]:[ID]]=$A42,0)),""))</f>
        <v/>
      </c>
      <c r="G42" t="str" cm="1">
        <f t="array" ref="G42">IF(IFERROR(MIN(_xlfn._xlws.FILTER(Tabla1[[#Data],[Humidade]],Tabla1[[ID]:[ID]]=$A42,0)),"")=0,"",IFERROR(MIN(_xlfn._xlws.FILTER(Tabla1[[#Data],[Humidade]],Tabla1[[ID]:[ID]]=$A42,0)),""))</f>
        <v/>
      </c>
      <c r="H42" t="str" cm="1">
        <f t="array" ref="H42">IFERROR(AVERAGE(_xlfn._xlws.FILTER(Tabla1[[#Data],[AcX]],Tabla1[[ID]:[ID]]=$A42,0)),"")</f>
        <v/>
      </c>
      <c r="I42" t="str" cm="1">
        <f t="array" ref="I42">IF(IFERROR(MAX(_xlfn._xlws.FILTER(Tabla1[[#Data],[AcX]],Tabla1[[ID]:[ID]]=$A42,0)),"")=0,"",IFERROR(MAX(_xlfn._xlws.FILTER(Tabla1[[#Data],[AcX]],Tabla1[[ID]:[ID]]=$A42,0)),""))</f>
        <v/>
      </c>
      <c r="J42" t="str" cm="1">
        <f t="array" ref="J42">IF(IFERROR(MIN(_xlfn._xlws.FILTER(Tabla1[[#Data],[AcX]],Tabla1[[ID]:[ID]]=$A42,0)),"")=0,"",IFERROR(MIN(_xlfn._xlws.FILTER(Tabla1[[#Data],[AcX]],Tabla1[[ID]:[ID]]=$A42,0)),""))</f>
        <v/>
      </c>
      <c r="K42" t="str" cm="1">
        <f t="array" ref="K42">IFERROR(AVERAGE(_xlfn._xlws.FILTER(Tabla1[[#Data],[AcY]],Tabla1[[ID]:[ID]]=$A42,0)),"")</f>
        <v/>
      </c>
      <c r="L42" t="str" cm="1">
        <f t="array" ref="L42">IF(IFERROR(MAX(_xlfn._xlws.FILTER(Tabla1[[#Data],[AcY]],Tabla1[[ID]:[ID]]=$A42,0)),"")=0,"",IFERROR(MAX(_xlfn._xlws.FILTER(Tabla1[[#Data],[AcY]],Tabla1[[ID]:[ID]]=$A42,0)),""))</f>
        <v/>
      </c>
      <c r="M42" t="str" cm="1">
        <f t="array" ref="M42">IF(IFERROR(MIN(_xlfn._xlws.FILTER(Tabla1[[#Data],[AcY]],Tabla1[[ID]:[ID]]=$A42,0)),"")=0,"",IFERROR(MIN(_xlfn._xlws.FILTER(Tabla1[[#Data],[AcY]],Tabla1[[ID]:[ID]]=$A42,0)),""))</f>
        <v/>
      </c>
      <c r="N42" t="str" cm="1">
        <f t="array" ref="N42">IFERROR(AVERAGE(_xlfn._xlws.FILTER(Tabla1[[#Data],[AcZ]],Tabla1[[ID]:[ID]]=$A42,0)),"")</f>
        <v/>
      </c>
      <c r="O42" t="str" cm="1">
        <f t="array" ref="O42">IF(IFERROR(MAX(_xlfn._xlws.FILTER(Tabla1[[#Data],[AcZ]],Tabla1[[ID]:[ID]]=$A42,0)),"")=0,"",IFERROR(MAX(_xlfn._xlws.FILTER(Tabla1[[#Data],[AcZ]],Tabla1[[ID]:[ID]]=$A42,0)),""))</f>
        <v/>
      </c>
      <c r="P42" t="str" cm="1">
        <f t="array" ref="P42">IF(IFERROR(MIN(_xlfn._xlws.FILTER(Tabla1[[#Data],[AcZ]],Tabla1[[ID]:[ID]]=$A42,0)),"")=0,"",IFERROR(MIN(_xlfn._xlws.FILTER(Tabla1[[#Data],[AcZ]],Tabla1[[ID]:[ID]]=$A42,0)),""))</f>
        <v/>
      </c>
      <c r="Q42" t="str" cm="1">
        <f t="array" ref="Q42">IFERROR(AVERAGE(_xlfn._xlws.FILTER(Tabla1[[#Data],[GyX]],Tabla1[[ID]:[ID]]=$A42,0)),"")</f>
        <v/>
      </c>
      <c r="R42" t="str" cm="1">
        <f t="array" ref="R42">IF(IFERROR(MAX(_xlfn._xlws.FILTER(Tabla1[[#Data],[GyX]],Tabla1[[ID]:[ID]]=$A42,0)),"")=0,"",IFERROR(MAX(_xlfn._xlws.FILTER(Tabla1[[#Data],[GyX]],Tabla1[[ID]:[ID]]=$A42,0)),""))</f>
        <v/>
      </c>
      <c r="S42" t="str" cm="1">
        <f t="array" ref="S42">IF(IFERROR(MIN(_xlfn._xlws.FILTER(Tabla1[[#Data],[GyX]],Tabla1[[ID]:[ID]]=$A42,0)),"")=0,"",IFERROR(MIN(_xlfn._xlws.FILTER(Tabla1[[#Data],[GyX]],Tabla1[[ID]:[ID]]=$A42,0)),""))</f>
        <v/>
      </c>
      <c r="T42" t="str" cm="1">
        <f t="array" ref="T42">IFERROR(AVERAGE(_xlfn._xlws.FILTER(Tabla1[[#Data],[GyY]],Tabla1[[ID]:[ID]]=$A42,0)),"")</f>
        <v/>
      </c>
      <c r="U42" t="str" cm="1">
        <f t="array" ref="U42">IF(IFERROR(MAX(_xlfn._xlws.FILTER(Tabla1[[#Data],[GyY]],Tabla1[[ID]:[ID]]=$A42,0)),"")=0,"",IFERROR(MAX(_xlfn._xlws.FILTER(Tabla1[[#Data],[GyY]],Tabla1[[ID]:[ID]]=$A42,0)),""))</f>
        <v/>
      </c>
      <c r="V42" t="str" cm="1">
        <f t="array" ref="V42">IF(IFERROR(MIN(_xlfn._xlws.FILTER(Tabla1[[#Data],[GyY]],Tabla1[[ID]:[ID]]=$A42,0)),"")=0,"",IFERROR(MIN(_xlfn._xlws.FILTER(Tabla1[[#Data],[GyY]],Tabla1[[ID]:[ID]]=$A42,0)),""))</f>
        <v/>
      </c>
      <c r="W42" t="str" cm="1">
        <f t="array" ref="W42">IFERROR(AVERAGE(_xlfn._xlws.FILTER(Tabla1[[#Data],[GyZ]],Tabla1[[ID]:[ID]]=$A42,0)),"")</f>
        <v/>
      </c>
      <c r="X42" t="str" cm="1">
        <f t="array" ref="X42">IF(IFERROR(MAX(_xlfn._xlws.FILTER(Tabla1[[#Data],[GyZ]],Tabla1[[ID]:[ID]]=$A42,0)),"")=0,"",IFERROR(MAX(_xlfn._xlws.FILTER(Tabla1[[#Data],[GyZ]],Tabla1[[ID]:[ID]]=$A42,0)),""))</f>
        <v/>
      </c>
      <c r="Y42" t="str" cm="1">
        <f t="array" ref="Y42">IF(IFERROR(MIN(_xlfn._xlws.FILTER(Tabla1[[#Data],[GyZ]],Tabla1[[ID]:[ID]]=$A42,0)),"")=0,"",IFERROR(MIN(_xlfn._xlws.FILTER(Tabla1[[#Data],[GyZ]],Tabla1[[ID]:[ID]]=$A42,0)),""))</f>
        <v/>
      </c>
      <c r="Z42" t="str" cm="1">
        <f t="array" ref="Z42">IF(ISNUMBER(A42),IF(ISNUMBER(MATCH(1,_xlfn._xlws.FILTER(Tabla1[[#Data],[Open]],Tabla1[[ID]:[ID]]=$A42,""))),1,0),"")</f>
        <v/>
      </c>
      <c r="AA42" t="str">
        <f t="shared" si="0"/>
        <v/>
      </c>
      <c r="AB42" t="str">
        <f t="shared" si="1"/>
        <v/>
      </c>
      <c r="AC42" t="str">
        <f t="shared" si="2"/>
        <v/>
      </c>
      <c r="AD42" t="str">
        <f t="shared" si="3"/>
        <v/>
      </c>
      <c r="AE42" t="str">
        <f t="shared" si="4"/>
        <v/>
      </c>
      <c r="AF42" t="str">
        <f t="shared" si="5"/>
        <v/>
      </c>
      <c r="AG42" t="str">
        <f t="shared" si="6"/>
        <v/>
      </c>
      <c r="AH42" t="str">
        <f t="shared" si="7"/>
        <v/>
      </c>
      <c r="AI42" t="str">
        <f t="shared" si="8"/>
        <v/>
      </c>
      <c r="AJ42" t="str">
        <f t="shared" si="9"/>
        <v/>
      </c>
    </row>
    <row r="43" spans="2:36" x14ac:dyDescent="0.35">
      <c r="B43" t="str" cm="1">
        <f t="array" ref="B43">IFERROR(AVERAGE(_xlfn._xlws.FILTER(Tabla1[[#Data],[Temperatura]],Tabla1[[ID]:[ID]]=$A43,0)),"")</f>
        <v/>
      </c>
      <c r="C43" t="str" cm="1">
        <f t="array" ref="C43">IF(IFERROR(MAX(_xlfn._xlws.FILTER(Tabla1[[#Data],[Temperatura]],Tabla1[[ID]:[ID]]=$A43,0)),"")=0,"",IFERROR(MAX(_xlfn._xlws.FILTER(Tabla1[[#Data],[Temperatura]],Tabla1[[ID]:[ID]]=$A43,0)),""))</f>
        <v/>
      </c>
      <c r="D43" t="str" cm="1">
        <f t="array" ref="D43">IF(IFERROR(MIN(_xlfn._xlws.FILTER(Tabla1[[#Data],[Temperatura]],Tabla1[[ID]:[ID]]=$A43,0)),"")=0,"",IFERROR(MIN(_xlfn._xlws.FILTER(Tabla1[[#Data],[Temperatura]],Tabla1[[ID]:[ID]]=$A43,0)),""))</f>
        <v/>
      </c>
      <c r="E43" t="str" cm="1">
        <f t="array" ref="E43">IFERROR(AVERAGE(_xlfn._xlws.FILTER(Tabla1[[#Data],[Humidade]],Tabla1[[ID]:[ID]]=$A43,0)),"")</f>
        <v/>
      </c>
      <c r="F43" t="str" cm="1">
        <f t="array" ref="F43">IF(IFERROR(MAX(_xlfn._xlws.FILTER(Tabla1[[#Data],[Humidade]],Tabla1[[ID]:[ID]]=$A43,0)),"")=0,"",IFERROR(MAX(_xlfn._xlws.FILTER(Tabla1[[#Data],[Humidade]],Tabla1[[ID]:[ID]]=$A43,0)),""))</f>
        <v/>
      </c>
      <c r="G43" t="str" cm="1">
        <f t="array" ref="G43">IF(IFERROR(MIN(_xlfn._xlws.FILTER(Tabla1[[#Data],[Humidade]],Tabla1[[ID]:[ID]]=$A43,0)),"")=0,"",IFERROR(MIN(_xlfn._xlws.FILTER(Tabla1[[#Data],[Humidade]],Tabla1[[ID]:[ID]]=$A43,0)),""))</f>
        <v/>
      </c>
      <c r="H43" t="str" cm="1">
        <f t="array" ref="H43">IFERROR(AVERAGE(_xlfn._xlws.FILTER(Tabla1[[#Data],[AcX]],Tabla1[[ID]:[ID]]=$A43,0)),"")</f>
        <v/>
      </c>
      <c r="I43" t="str" cm="1">
        <f t="array" ref="I43">IF(IFERROR(MAX(_xlfn._xlws.FILTER(Tabla1[[#Data],[AcX]],Tabla1[[ID]:[ID]]=$A43,0)),"")=0,"",IFERROR(MAX(_xlfn._xlws.FILTER(Tabla1[[#Data],[AcX]],Tabla1[[ID]:[ID]]=$A43,0)),""))</f>
        <v/>
      </c>
      <c r="J43" t="str" cm="1">
        <f t="array" ref="J43">IF(IFERROR(MIN(_xlfn._xlws.FILTER(Tabla1[[#Data],[AcX]],Tabla1[[ID]:[ID]]=$A43,0)),"")=0,"",IFERROR(MIN(_xlfn._xlws.FILTER(Tabla1[[#Data],[AcX]],Tabla1[[ID]:[ID]]=$A43,0)),""))</f>
        <v/>
      </c>
      <c r="K43" t="str" cm="1">
        <f t="array" ref="K43">IFERROR(AVERAGE(_xlfn._xlws.FILTER(Tabla1[[#Data],[AcY]],Tabla1[[ID]:[ID]]=$A43,0)),"")</f>
        <v/>
      </c>
      <c r="L43" t="str" cm="1">
        <f t="array" ref="L43">IF(IFERROR(MAX(_xlfn._xlws.FILTER(Tabla1[[#Data],[AcY]],Tabla1[[ID]:[ID]]=$A43,0)),"")=0,"",IFERROR(MAX(_xlfn._xlws.FILTER(Tabla1[[#Data],[AcY]],Tabla1[[ID]:[ID]]=$A43,0)),""))</f>
        <v/>
      </c>
      <c r="M43" t="str" cm="1">
        <f t="array" ref="M43">IF(IFERROR(MIN(_xlfn._xlws.FILTER(Tabla1[[#Data],[AcY]],Tabla1[[ID]:[ID]]=$A43,0)),"")=0,"",IFERROR(MIN(_xlfn._xlws.FILTER(Tabla1[[#Data],[AcY]],Tabla1[[ID]:[ID]]=$A43,0)),""))</f>
        <v/>
      </c>
      <c r="N43" t="str" cm="1">
        <f t="array" ref="N43">IFERROR(AVERAGE(_xlfn._xlws.FILTER(Tabla1[[#Data],[AcZ]],Tabla1[[ID]:[ID]]=$A43,0)),"")</f>
        <v/>
      </c>
      <c r="O43" t="str" cm="1">
        <f t="array" ref="O43">IF(IFERROR(MAX(_xlfn._xlws.FILTER(Tabla1[[#Data],[AcZ]],Tabla1[[ID]:[ID]]=$A43,0)),"")=0,"",IFERROR(MAX(_xlfn._xlws.FILTER(Tabla1[[#Data],[AcZ]],Tabla1[[ID]:[ID]]=$A43,0)),""))</f>
        <v/>
      </c>
      <c r="P43" t="str" cm="1">
        <f t="array" ref="P43">IF(IFERROR(MIN(_xlfn._xlws.FILTER(Tabla1[[#Data],[AcZ]],Tabla1[[ID]:[ID]]=$A43,0)),"")=0,"",IFERROR(MIN(_xlfn._xlws.FILTER(Tabla1[[#Data],[AcZ]],Tabla1[[ID]:[ID]]=$A43,0)),""))</f>
        <v/>
      </c>
      <c r="Q43" t="str" cm="1">
        <f t="array" ref="Q43">IFERROR(AVERAGE(_xlfn._xlws.FILTER(Tabla1[[#Data],[GyX]],Tabla1[[ID]:[ID]]=$A43,0)),"")</f>
        <v/>
      </c>
      <c r="R43" t="str" cm="1">
        <f t="array" ref="R43">IF(IFERROR(MAX(_xlfn._xlws.FILTER(Tabla1[[#Data],[GyX]],Tabla1[[ID]:[ID]]=$A43,0)),"")=0,"",IFERROR(MAX(_xlfn._xlws.FILTER(Tabla1[[#Data],[GyX]],Tabla1[[ID]:[ID]]=$A43,0)),""))</f>
        <v/>
      </c>
      <c r="S43" t="str" cm="1">
        <f t="array" ref="S43">IF(IFERROR(MIN(_xlfn._xlws.FILTER(Tabla1[[#Data],[GyX]],Tabla1[[ID]:[ID]]=$A43,0)),"")=0,"",IFERROR(MIN(_xlfn._xlws.FILTER(Tabla1[[#Data],[GyX]],Tabla1[[ID]:[ID]]=$A43,0)),""))</f>
        <v/>
      </c>
      <c r="T43" t="str" cm="1">
        <f t="array" ref="T43">IFERROR(AVERAGE(_xlfn._xlws.FILTER(Tabla1[[#Data],[GyY]],Tabla1[[ID]:[ID]]=$A43,0)),"")</f>
        <v/>
      </c>
      <c r="U43" t="str" cm="1">
        <f t="array" ref="U43">IF(IFERROR(MAX(_xlfn._xlws.FILTER(Tabla1[[#Data],[GyY]],Tabla1[[ID]:[ID]]=$A43,0)),"")=0,"",IFERROR(MAX(_xlfn._xlws.FILTER(Tabla1[[#Data],[GyY]],Tabla1[[ID]:[ID]]=$A43,0)),""))</f>
        <v/>
      </c>
      <c r="V43" t="str" cm="1">
        <f t="array" ref="V43">IF(IFERROR(MIN(_xlfn._xlws.FILTER(Tabla1[[#Data],[GyY]],Tabla1[[ID]:[ID]]=$A43,0)),"")=0,"",IFERROR(MIN(_xlfn._xlws.FILTER(Tabla1[[#Data],[GyY]],Tabla1[[ID]:[ID]]=$A43,0)),""))</f>
        <v/>
      </c>
      <c r="W43" t="str" cm="1">
        <f t="array" ref="W43">IFERROR(AVERAGE(_xlfn._xlws.FILTER(Tabla1[[#Data],[GyZ]],Tabla1[[ID]:[ID]]=$A43,0)),"")</f>
        <v/>
      </c>
      <c r="X43" t="str" cm="1">
        <f t="array" ref="X43">IF(IFERROR(MAX(_xlfn._xlws.FILTER(Tabla1[[#Data],[GyZ]],Tabla1[[ID]:[ID]]=$A43,0)),"")=0,"",IFERROR(MAX(_xlfn._xlws.FILTER(Tabla1[[#Data],[GyZ]],Tabla1[[ID]:[ID]]=$A43,0)),""))</f>
        <v/>
      </c>
      <c r="Y43" t="str" cm="1">
        <f t="array" ref="Y43">IF(IFERROR(MIN(_xlfn._xlws.FILTER(Tabla1[[#Data],[GyZ]],Tabla1[[ID]:[ID]]=$A43,0)),"")=0,"",IFERROR(MIN(_xlfn._xlws.FILTER(Tabla1[[#Data],[GyZ]],Tabla1[[ID]:[ID]]=$A43,0)),""))</f>
        <v/>
      </c>
      <c r="Z43" t="str" cm="1">
        <f t="array" ref="Z43">IF(ISNUMBER(A43),IF(ISNUMBER(MATCH(1,_xlfn._xlws.FILTER(Tabla1[[#Data],[Open]],Tabla1[[ID]:[ID]]=$A43,""))),1,0),"")</f>
        <v/>
      </c>
      <c r="AA43" t="str">
        <f t="shared" si="0"/>
        <v/>
      </c>
      <c r="AB43" t="str">
        <f t="shared" si="1"/>
        <v/>
      </c>
      <c r="AC43" t="str">
        <f t="shared" si="2"/>
        <v/>
      </c>
      <c r="AD43" t="str">
        <f t="shared" si="3"/>
        <v/>
      </c>
      <c r="AE43" t="str">
        <f t="shared" si="4"/>
        <v/>
      </c>
      <c r="AF43" t="str">
        <f t="shared" si="5"/>
        <v/>
      </c>
      <c r="AG43" t="str">
        <f t="shared" si="6"/>
        <v/>
      </c>
      <c r="AH43" t="str">
        <f t="shared" si="7"/>
        <v/>
      </c>
      <c r="AI43" t="str">
        <f t="shared" si="8"/>
        <v/>
      </c>
      <c r="AJ43" t="str">
        <f t="shared" si="9"/>
        <v/>
      </c>
    </row>
    <row r="44" spans="2:36" x14ac:dyDescent="0.35">
      <c r="B44" t="str" cm="1">
        <f t="array" ref="B44">IFERROR(AVERAGE(_xlfn._xlws.FILTER(Tabla1[[#Data],[Temperatura]],Tabla1[[ID]:[ID]]=$A44,0)),"")</f>
        <v/>
      </c>
      <c r="C44" t="str" cm="1">
        <f t="array" ref="C44">IF(IFERROR(MAX(_xlfn._xlws.FILTER(Tabla1[[#Data],[Temperatura]],Tabla1[[ID]:[ID]]=$A44,0)),"")=0,"",IFERROR(MAX(_xlfn._xlws.FILTER(Tabla1[[#Data],[Temperatura]],Tabla1[[ID]:[ID]]=$A44,0)),""))</f>
        <v/>
      </c>
      <c r="D44" t="str" cm="1">
        <f t="array" ref="D44">IF(IFERROR(MIN(_xlfn._xlws.FILTER(Tabla1[[#Data],[Temperatura]],Tabla1[[ID]:[ID]]=$A44,0)),"")=0,"",IFERROR(MIN(_xlfn._xlws.FILTER(Tabla1[[#Data],[Temperatura]],Tabla1[[ID]:[ID]]=$A44,0)),""))</f>
        <v/>
      </c>
      <c r="E44" t="str" cm="1">
        <f t="array" ref="E44">IFERROR(AVERAGE(_xlfn._xlws.FILTER(Tabla1[[#Data],[Humidade]],Tabla1[[ID]:[ID]]=$A44,0)),"")</f>
        <v/>
      </c>
      <c r="F44" t="str" cm="1">
        <f t="array" ref="F44">IF(IFERROR(MAX(_xlfn._xlws.FILTER(Tabla1[[#Data],[Humidade]],Tabla1[[ID]:[ID]]=$A44,0)),"")=0,"",IFERROR(MAX(_xlfn._xlws.FILTER(Tabla1[[#Data],[Humidade]],Tabla1[[ID]:[ID]]=$A44,0)),""))</f>
        <v/>
      </c>
      <c r="G44" t="str" cm="1">
        <f t="array" ref="G44">IF(IFERROR(MIN(_xlfn._xlws.FILTER(Tabla1[[#Data],[Humidade]],Tabla1[[ID]:[ID]]=$A44,0)),"")=0,"",IFERROR(MIN(_xlfn._xlws.FILTER(Tabla1[[#Data],[Humidade]],Tabla1[[ID]:[ID]]=$A44,0)),""))</f>
        <v/>
      </c>
      <c r="H44" t="str" cm="1">
        <f t="array" ref="H44">IFERROR(AVERAGE(_xlfn._xlws.FILTER(Tabla1[[#Data],[AcX]],Tabla1[[ID]:[ID]]=$A44,0)),"")</f>
        <v/>
      </c>
      <c r="I44" t="str" cm="1">
        <f t="array" ref="I44">IF(IFERROR(MAX(_xlfn._xlws.FILTER(Tabla1[[#Data],[AcX]],Tabla1[[ID]:[ID]]=$A44,0)),"")=0,"",IFERROR(MAX(_xlfn._xlws.FILTER(Tabla1[[#Data],[AcX]],Tabla1[[ID]:[ID]]=$A44,0)),""))</f>
        <v/>
      </c>
      <c r="J44" t="str" cm="1">
        <f t="array" ref="J44">IF(IFERROR(MIN(_xlfn._xlws.FILTER(Tabla1[[#Data],[AcX]],Tabla1[[ID]:[ID]]=$A44,0)),"")=0,"",IFERROR(MIN(_xlfn._xlws.FILTER(Tabla1[[#Data],[AcX]],Tabla1[[ID]:[ID]]=$A44,0)),""))</f>
        <v/>
      </c>
      <c r="K44" t="str" cm="1">
        <f t="array" ref="K44">IFERROR(AVERAGE(_xlfn._xlws.FILTER(Tabla1[[#Data],[AcY]],Tabla1[[ID]:[ID]]=$A44,0)),"")</f>
        <v/>
      </c>
      <c r="L44" t="str" cm="1">
        <f t="array" ref="L44">IF(IFERROR(MAX(_xlfn._xlws.FILTER(Tabla1[[#Data],[AcY]],Tabla1[[ID]:[ID]]=$A44,0)),"")=0,"",IFERROR(MAX(_xlfn._xlws.FILTER(Tabla1[[#Data],[AcY]],Tabla1[[ID]:[ID]]=$A44,0)),""))</f>
        <v/>
      </c>
      <c r="M44" t="str" cm="1">
        <f t="array" ref="M44">IF(IFERROR(MIN(_xlfn._xlws.FILTER(Tabla1[[#Data],[AcY]],Tabla1[[ID]:[ID]]=$A44,0)),"")=0,"",IFERROR(MIN(_xlfn._xlws.FILTER(Tabla1[[#Data],[AcY]],Tabla1[[ID]:[ID]]=$A44,0)),""))</f>
        <v/>
      </c>
      <c r="N44" t="str" cm="1">
        <f t="array" ref="N44">IFERROR(AVERAGE(_xlfn._xlws.FILTER(Tabla1[[#Data],[AcZ]],Tabla1[[ID]:[ID]]=$A44,0)),"")</f>
        <v/>
      </c>
      <c r="O44" t="str" cm="1">
        <f t="array" ref="O44">IF(IFERROR(MAX(_xlfn._xlws.FILTER(Tabla1[[#Data],[AcZ]],Tabla1[[ID]:[ID]]=$A44,0)),"")=0,"",IFERROR(MAX(_xlfn._xlws.FILTER(Tabla1[[#Data],[AcZ]],Tabla1[[ID]:[ID]]=$A44,0)),""))</f>
        <v/>
      </c>
      <c r="P44" t="str" cm="1">
        <f t="array" ref="P44">IF(IFERROR(MIN(_xlfn._xlws.FILTER(Tabla1[[#Data],[AcZ]],Tabla1[[ID]:[ID]]=$A44,0)),"")=0,"",IFERROR(MIN(_xlfn._xlws.FILTER(Tabla1[[#Data],[AcZ]],Tabla1[[ID]:[ID]]=$A44,0)),""))</f>
        <v/>
      </c>
      <c r="Q44" t="str" cm="1">
        <f t="array" ref="Q44">IFERROR(AVERAGE(_xlfn._xlws.FILTER(Tabla1[[#Data],[GyX]],Tabla1[[ID]:[ID]]=$A44,0)),"")</f>
        <v/>
      </c>
      <c r="R44" t="str" cm="1">
        <f t="array" ref="R44">IF(IFERROR(MAX(_xlfn._xlws.FILTER(Tabla1[[#Data],[GyX]],Tabla1[[ID]:[ID]]=$A44,0)),"")=0,"",IFERROR(MAX(_xlfn._xlws.FILTER(Tabla1[[#Data],[GyX]],Tabla1[[ID]:[ID]]=$A44,0)),""))</f>
        <v/>
      </c>
      <c r="S44" t="str" cm="1">
        <f t="array" ref="S44">IF(IFERROR(MIN(_xlfn._xlws.FILTER(Tabla1[[#Data],[GyX]],Tabla1[[ID]:[ID]]=$A44,0)),"")=0,"",IFERROR(MIN(_xlfn._xlws.FILTER(Tabla1[[#Data],[GyX]],Tabla1[[ID]:[ID]]=$A44,0)),""))</f>
        <v/>
      </c>
      <c r="T44" t="str" cm="1">
        <f t="array" ref="T44">IFERROR(AVERAGE(_xlfn._xlws.FILTER(Tabla1[[#Data],[GyY]],Tabla1[[ID]:[ID]]=$A44,0)),"")</f>
        <v/>
      </c>
      <c r="U44" t="str" cm="1">
        <f t="array" ref="U44">IF(IFERROR(MAX(_xlfn._xlws.FILTER(Tabla1[[#Data],[GyY]],Tabla1[[ID]:[ID]]=$A44,0)),"")=0,"",IFERROR(MAX(_xlfn._xlws.FILTER(Tabla1[[#Data],[GyY]],Tabla1[[ID]:[ID]]=$A44,0)),""))</f>
        <v/>
      </c>
      <c r="V44" t="str" cm="1">
        <f t="array" ref="V44">IF(IFERROR(MIN(_xlfn._xlws.FILTER(Tabla1[[#Data],[GyY]],Tabla1[[ID]:[ID]]=$A44,0)),"")=0,"",IFERROR(MIN(_xlfn._xlws.FILTER(Tabla1[[#Data],[GyY]],Tabla1[[ID]:[ID]]=$A44,0)),""))</f>
        <v/>
      </c>
      <c r="W44" t="str" cm="1">
        <f t="array" ref="W44">IFERROR(AVERAGE(_xlfn._xlws.FILTER(Tabla1[[#Data],[GyZ]],Tabla1[[ID]:[ID]]=$A44,0)),"")</f>
        <v/>
      </c>
      <c r="X44" t="str" cm="1">
        <f t="array" ref="X44">IF(IFERROR(MAX(_xlfn._xlws.FILTER(Tabla1[[#Data],[GyZ]],Tabla1[[ID]:[ID]]=$A44,0)),"")=0,"",IFERROR(MAX(_xlfn._xlws.FILTER(Tabla1[[#Data],[GyZ]],Tabla1[[ID]:[ID]]=$A44,0)),""))</f>
        <v/>
      </c>
      <c r="Y44" t="str" cm="1">
        <f t="array" ref="Y44">IF(IFERROR(MIN(_xlfn._xlws.FILTER(Tabla1[[#Data],[GyZ]],Tabla1[[ID]:[ID]]=$A44,0)),"")=0,"",IFERROR(MIN(_xlfn._xlws.FILTER(Tabla1[[#Data],[GyZ]],Tabla1[[ID]:[ID]]=$A44,0)),""))</f>
        <v/>
      </c>
      <c r="Z44" t="str" cm="1">
        <f t="array" ref="Z44">IF(ISNUMBER(A44),IF(ISNUMBER(MATCH(1,_xlfn._xlws.FILTER(Tabla1[[#Data],[Open]],Tabla1[[ID]:[ID]]=$A44,""))),1,0),"")</f>
        <v/>
      </c>
      <c r="AA44" t="str">
        <f t="shared" si="0"/>
        <v/>
      </c>
      <c r="AB44" t="str">
        <f t="shared" si="1"/>
        <v/>
      </c>
      <c r="AC44" t="str">
        <f t="shared" si="2"/>
        <v/>
      </c>
      <c r="AD44" t="str">
        <f t="shared" si="3"/>
        <v/>
      </c>
      <c r="AE44" t="str">
        <f t="shared" si="4"/>
        <v/>
      </c>
      <c r="AF44" t="str">
        <f t="shared" si="5"/>
        <v/>
      </c>
      <c r="AG44" t="str">
        <f t="shared" si="6"/>
        <v/>
      </c>
      <c r="AH44" t="str">
        <f t="shared" si="7"/>
        <v/>
      </c>
      <c r="AI44" t="str">
        <f t="shared" si="8"/>
        <v/>
      </c>
      <c r="AJ44" t="str">
        <f t="shared" si="9"/>
        <v/>
      </c>
    </row>
    <row r="45" spans="2:36" x14ac:dyDescent="0.35">
      <c r="B45" t="str" cm="1">
        <f t="array" ref="B45">IFERROR(AVERAGE(_xlfn._xlws.FILTER(Tabla1[[#Data],[Temperatura]],Tabla1[[ID]:[ID]]=$A45,0)),"")</f>
        <v/>
      </c>
      <c r="C45" t="str" cm="1">
        <f t="array" ref="C45">IF(IFERROR(MAX(_xlfn._xlws.FILTER(Tabla1[[#Data],[Temperatura]],Tabla1[[ID]:[ID]]=$A45,0)),"")=0,"",IFERROR(MAX(_xlfn._xlws.FILTER(Tabla1[[#Data],[Temperatura]],Tabla1[[ID]:[ID]]=$A45,0)),""))</f>
        <v/>
      </c>
      <c r="D45" t="str" cm="1">
        <f t="array" ref="D45">IF(IFERROR(MIN(_xlfn._xlws.FILTER(Tabla1[[#Data],[Temperatura]],Tabla1[[ID]:[ID]]=$A45,0)),"")=0,"",IFERROR(MIN(_xlfn._xlws.FILTER(Tabla1[[#Data],[Temperatura]],Tabla1[[ID]:[ID]]=$A45,0)),""))</f>
        <v/>
      </c>
      <c r="E45" t="str" cm="1">
        <f t="array" ref="E45">IFERROR(AVERAGE(_xlfn._xlws.FILTER(Tabla1[[#Data],[Humidade]],Tabla1[[ID]:[ID]]=$A45,0)),"")</f>
        <v/>
      </c>
      <c r="F45" t="str" cm="1">
        <f t="array" ref="F45">IF(IFERROR(MAX(_xlfn._xlws.FILTER(Tabla1[[#Data],[Humidade]],Tabla1[[ID]:[ID]]=$A45,0)),"")=0,"",IFERROR(MAX(_xlfn._xlws.FILTER(Tabla1[[#Data],[Humidade]],Tabla1[[ID]:[ID]]=$A45,0)),""))</f>
        <v/>
      </c>
      <c r="G45" t="str" cm="1">
        <f t="array" ref="G45">IF(IFERROR(MIN(_xlfn._xlws.FILTER(Tabla1[[#Data],[Humidade]],Tabla1[[ID]:[ID]]=$A45,0)),"")=0,"",IFERROR(MIN(_xlfn._xlws.FILTER(Tabla1[[#Data],[Humidade]],Tabla1[[ID]:[ID]]=$A45,0)),""))</f>
        <v/>
      </c>
      <c r="H45" t="str" cm="1">
        <f t="array" ref="H45">IFERROR(AVERAGE(_xlfn._xlws.FILTER(Tabla1[[#Data],[AcX]],Tabla1[[ID]:[ID]]=$A45,0)),"")</f>
        <v/>
      </c>
      <c r="I45" t="str" cm="1">
        <f t="array" ref="I45">IF(IFERROR(MAX(_xlfn._xlws.FILTER(Tabla1[[#Data],[AcX]],Tabla1[[ID]:[ID]]=$A45,0)),"")=0,"",IFERROR(MAX(_xlfn._xlws.FILTER(Tabla1[[#Data],[AcX]],Tabla1[[ID]:[ID]]=$A45,0)),""))</f>
        <v/>
      </c>
      <c r="J45" t="str" cm="1">
        <f t="array" ref="J45">IF(IFERROR(MIN(_xlfn._xlws.FILTER(Tabla1[[#Data],[AcX]],Tabla1[[ID]:[ID]]=$A45,0)),"")=0,"",IFERROR(MIN(_xlfn._xlws.FILTER(Tabla1[[#Data],[AcX]],Tabla1[[ID]:[ID]]=$A45,0)),""))</f>
        <v/>
      </c>
      <c r="K45" t="str" cm="1">
        <f t="array" ref="K45">IFERROR(AVERAGE(_xlfn._xlws.FILTER(Tabla1[[#Data],[AcY]],Tabla1[[ID]:[ID]]=$A45,0)),"")</f>
        <v/>
      </c>
      <c r="L45" t="str" cm="1">
        <f t="array" ref="L45">IF(IFERROR(MAX(_xlfn._xlws.FILTER(Tabla1[[#Data],[AcY]],Tabla1[[ID]:[ID]]=$A45,0)),"")=0,"",IFERROR(MAX(_xlfn._xlws.FILTER(Tabla1[[#Data],[AcY]],Tabla1[[ID]:[ID]]=$A45,0)),""))</f>
        <v/>
      </c>
      <c r="M45" t="str" cm="1">
        <f t="array" ref="M45">IF(IFERROR(MIN(_xlfn._xlws.FILTER(Tabla1[[#Data],[AcY]],Tabla1[[ID]:[ID]]=$A45,0)),"")=0,"",IFERROR(MIN(_xlfn._xlws.FILTER(Tabla1[[#Data],[AcY]],Tabla1[[ID]:[ID]]=$A45,0)),""))</f>
        <v/>
      </c>
      <c r="N45" t="str" cm="1">
        <f t="array" ref="N45">IFERROR(AVERAGE(_xlfn._xlws.FILTER(Tabla1[[#Data],[AcZ]],Tabla1[[ID]:[ID]]=$A45,0)),"")</f>
        <v/>
      </c>
      <c r="O45" t="str" cm="1">
        <f t="array" ref="O45">IF(IFERROR(MAX(_xlfn._xlws.FILTER(Tabla1[[#Data],[AcZ]],Tabla1[[ID]:[ID]]=$A45,0)),"")=0,"",IFERROR(MAX(_xlfn._xlws.FILTER(Tabla1[[#Data],[AcZ]],Tabla1[[ID]:[ID]]=$A45,0)),""))</f>
        <v/>
      </c>
      <c r="P45" t="str" cm="1">
        <f t="array" ref="P45">IF(IFERROR(MIN(_xlfn._xlws.FILTER(Tabla1[[#Data],[AcZ]],Tabla1[[ID]:[ID]]=$A45,0)),"")=0,"",IFERROR(MIN(_xlfn._xlws.FILTER(Tabla1[[#Data],[AcZ]],Tabla1[[ID]:[ID]]=$A45,0)),""))</f>
        <v/>
      </c>
      <c r="Q45" t="str" cm="1">
        <f t="array" ref="Q45">IFERROR(AVERAGE(_xlfn._xlws.FILTER(Tabla1[[#Data],[GyX]],Tabla1[[ID]:[ID]]=$A45,0)),"")</f>
        <v/>
      </c>
      <c r="R45" t="str" cm="1">
        <f t="array" ref="R45">IF(IFERROR(MAX(_xlfn._xlws.FILTER(Tabla1[[#Data],[GyX]],Tabla1[[ID]:[ID]]=$A45,0)),"")=0,"",IFERROR(MAX(_xlfn._xlws.FILTER(Tabla1[[#Data],[GyX]],Tabla1[[ID]:[ID]]=$A45,0)),""))</f>
        <v/>
      </c>
      <c r="S45" t="str" cm="1">
        <f t="array" ref="S45">IF(IFERROR(MIN(_xlfn._xlws.FILTER(Tabla1[[#Data],[GyX]],Tabla1[[ID]:[ID]]=$A45,0)),"")=0,"",IFERROR(MIN(_xlfn._xlws.FILTER(Tabla1[[#Data],[GyX]],Tabla1[[ID]:[ID]]=$A45,0)),""))</f>
        <v/>
      </c>
      <c r="T45" t="str" cm="1">
        <f t="array" ref="T45">IFERROR(AVERAGE(_xlfn._xlws.FILTER(Tabla1[[#Data],[GyY]],Tabla1[[ID]:[ID]]=$A45,0)),"")</f>
        <v/>
      </c>
      <c r="U45" t="str" cm="1">
        <f t="array" ref="U45">IF(IFERROR(MAX(_xlfn._xlws.FILTER(Tabla1[[#Data],[GyY]],Tabla1[[ID]:[ID]]=$A45,0)),"")=0,"",IFERROR(MAX(_xlfn._xlws.FILTER(Tabla1[[#Data],[GyY]],Tabla1[[ID]:[ID]]=$A45,0)),""))</f>
        <v/>
      </c>
      <c r="V45" t="str" cm="1">
        <f t="array" ref="V45">IF(IFERROR(MIN(_xlfn._xlws.FILTER(Tabla1[[#Data],[GyY]],Tabla1[[ID]:[ID]]=$A45,0)),"")=0,"",IFERROR(MIN(_xlfn._xlws.FILTER(Tabla1[[#Data],[GyY]],Tabla1[[ID]:[ID]]=$A45,0)),""))</f>
        <v/>
      </c>
      <c r="W45" t="str" cm="1">
        <f t="array" ref="W45">IFERROR(AVERAGE(_xlfn._xlws.FILTER(Tabla1[[#Data],[GyZ]],Tabla1[[ID]:[ID]]=$A45,0)),"")</f>
        <v/>
      </c>
      <c r="X45" t="str" cm="1">
        <f t="array" ref="X45">IF(IFERROR(MAX(_xlfn._xlws.FILTER(Tabla1[[#Data],[GyZ]],Tabla1[[ID]:[ID]]=$A45,0)),"")=0,"",IFERROR(MAX(_xlfn._xlws.FILTER(Tabla1[[#Data],[GyZ]],Tabla1[[ID]:[ID]]=$A45,0)),""))</f>
        <v/>
      </c>
      <c r="Y45" t="str" cm="1">
        <f t="array" ref="Y45">IF(IFERROR(MIN(_xlfn._xlws.FILTER(Tabla1[[#Data],[GyZ]],Tabla1[[ID]:[ID]]=$A45,0)),"")=0,"",IFERROR(MIN(_xlfn._xlws.FILTER(Tabla1[[#Data],[GyZ]],Tabla1[[ID]:[ID]]=$A45,0)),""))</f>
        <v/>
      </c>
      <c r="Z45" t="str" cm="1">
        <f t="array" ref="Z45">IF(ISNUMBER(A45),IF(ISNUMBER(MATCH(1,_xlfn._xlws.FILTER(Tabla1[[#Data],[Open]],Tabla1[[ID]:[ID]]=$A45,""))),1,0),"")</f>
        <v/>
      </c>
      <c r="AA45" t="str">
        <f t="shared" si="0"/>
        <v/>
      </c>
      <c r="AB45" t="str">
        <f t="shared" si="1"/>
        <v/>
      </c>
      <c r="AC45" t="str">
        <f t="shared" si="2"/>
        <v/>
      </c>
      <c r="AD45" t="str">
        <f t="shared" si="3"/>
        <v/>
      </c>
      <c r="AE45" t="str">
        <f t="shared" si="4"/>
        <v/>
      </c>
      <c r="AF45" t="str">
        <f t="shared" si="5"/>
        <v/>
      </c>
      <c r="AG45" t="str">
        <f t="shared" si="6"/>
        <v/>
      </c>
      <c r="AH45" t="str">
        <f t="shared" si="7"/>
        <v/>
      </c>
      <c r="AI45" t="str">
        <f t="shared" si="8"/>
        <v/>
      </c>
      <c r="AJ45" t="str">
        <f t="shared" si="9"/>
        <v/>
      </c>
    </row>
    <row r="46" spans="2:36" x14ac:dyDescent="0.35">
      <c r="B46" t="str" cm="1">
        <f t="array" ref="B46">IFERROR(AVERAGE(_xlfn._xlws.FILTER(Tabla1[[#Data],[Temperatura]],Tabla1[[ID]:[ID]]=$A46,0)),"")</f>
        <v/>
      </c>
      <c r="C46" t="str" cm="1">
        <f t="array" ref="C46">IF(IFERROR(MAX(_xlfn._xlws.FILTER(Tabla1[[#Data],[Temperatura]],Tabla1[[ID]:[ID]]=$A46,0)),"")=0,"",IFERROR(MAX(_xlfn._xlws.FILTER(Tabla1[[#Data],[Temperatura]],Tabla1[[ID]:[ID]]=$A46,0)),""))</f>
        <v/>
      </c>
      <c r="D46" t="str" cm="1">
        <f t="array" ref="D46">IF(IFERROR(MIN(_xlfn._xlws.FILTER(Tabla1[[#Data],[Temperatura]],Tabla1[[ID]:[ID]]=$A46,0)),"")=0,"",IFERROR(MIN(_xlfn._xlws.FILTER(Tabla1[[#Data],[Temperatura]],Tabla1[[ID]:[ID]]=$A46,0)),""))</f>
        <v/>
      </c>
      <c r="E46" t="str" cm="1">
        <f t="array" ref="E46">IFERROR(AVERAGE(_xlfn._xlws.FILTER(Tabla1[[#Data],[Humidade]],Tabla1[[ID]:[ID]]=$A46,0)),"")</f>
        <v/>
      </c>
      <c r="F46" t="str" cm="1">
        <f t="array" ref="F46">IF(IFERROR(MAX(_xlfn._xlws.FILTER(Tabla1[[#Data],[Humidade]],Tabla1[[ID]:[ID]]=$A46,0)),"")=0,"",IFERROR(MAX(_xlfn._xlws.FILTER(Tabla1[[#Data],[Humidade]],Tabla1[[ID]:[ID]]=$A46,0)),""))</f>
        <v/>
      </c>
      <c r="G46" t="str" cm="1">
        <f t="array" ref="G46">IF(IFERROR(MIN(_xlfn._xlws.FILTER(Tabla1[[#Data],[Humidade]],Tabla1[[ID]:[ID]]=$A46,0)),"")=0,"",IFERROR(MIN(_xlfn._xlws.FILTER(Tabla1[[#Data],[Humidade]],Tabla1[[ID]:[ID]]=$A46,0)),""))</f>
        <v/>
      </c>
      <c r="H46" t="str" cm="1">
        <f t="array" ref="H46">IFERROR(AVERAGE(_xlfn._xlws.FILTER(Tabla1[[#Data],[AcX]],Tabla1[[ID]:[ID]]=$A46,0)),"")</f>
        <v/>
      </c>
      <c r="I46" t="str" cm="1">
        <f t="array" ref="I46">IF(IFERROR(MAX(_xlfn._xlws.FILTER(Tabla1[[#Data],[AcX]],Tabla1[[ID]:[ID]]=$A46,0)),"")=0,"",IFERROR(MAX(_xlfn._xlws.FILTER(Tabla1[[#Data],[AcX]],Tabla1[[ID]:[ID]]=$A46,0)),""))</f>
        <v/>
      </c>
      <c r="J46" t="str" cm="1">
        <f t="array" ref="J46">IF(IFERROR(MIN(_xlfn._xlws.FILTER(Tabla1[[#Data],[AcX]],Tabla1[[ID]:[ID]]=$A46,0)),"")=0,"",IFERROR(MIN(_xlfn._xlws.FILTER(Tabla1[[#Data],[AcX]],Tabla1[[ID]:[ID]]=$A46,0)),""))</f>
        <v/>
      </c>
      <c r="K46" t="str" cm="1">
        <f t="array" ref="K46">IFERROR(AVERAGE(_xlfn._xlws.FILTER(Tabla1[[#Data],[AcY]],Tabla1[[ID]:[ID]]=$A46,0)),"")</f>
        <v/>
      </c>
      <c r="L46" t="str" cm="1">
        <f t="array" ref="L46">IF(IFERROR(MAX(_xlfn._xlws.FILTER(Tabla1[[#Data],[AcY]],Tabla1[[ID]:[ID]]=$A46,0)),"")=0,"",IFERROR(MAX(_xlfn._xlws.FILTER(Tabla1[[#Data],[AcY]],Tabla1[[ID]:[ID]]=$A46,0)),""))</f>
        <v/>
      </c>
      <c r="M46" t="str" cm="1">
        <f t="array" ref="M46">IF(IFERROR(MIN(_xlfn._xlws.FILTER(Tabla1[[#Data],[AcY]],Tabla1[[ID]:[ID]]=$A46,0)),"")=0,"",IFERROR(MIN(_xlfn._xlws.FILTER(Tabla1[[#Data],[AcY]],Tabla1[[ID]:[ID]]=$A46,0)),""))</f>
        <v/>
      </c>
      <c r="N46" t="str" cm="1">
        <f t="array" ref="N46">IFERROR(AVERAGE(_xlfn._xlws.FILTER(Tabla1[[#Data],[AcZ]],Tabla1[[ID]:[ID]]=$A46,0)),"")</f>
        <v/>
      </c>
      <c r="O46" t="str" cm="1">
        <f t="array" ref="O46">IF(IFERROR(MAX(_xlfn._xlws.FILTER(Tabla1[[#Data],[AcZ]],Tabla1[[ID]:[ID]]=$A46,0)),"")=0,"",IFERROR(MAX(_xlfn._xlws.FILTER(Tabla1[[#Data],[AcZ]],Tabla1[[ID]:[ID]]=$A46,0)),""))</f>
        <v/>
      </c>
      <c r="P46" t="str" cm="1">
        <f t="array" ref="P46">IF(IFERROR(MIN(_xlfn._xlws.FILTER(Tabla1[[#Data],[AcZ]],Tabla1[[ID]:[ID]]=$A46,0)),"")=0,"",IFERROR(MIN(_xlfn._xlws.FILTER(Tabla1[[#Data],[AcZ]],Tabla1[[ID]:[ID]]=$A46,0)),""))</f>
        <v/>
      </c>
      <c r="Q46" t="str" cm="1">
        <f t="array" ref="Q46">IFERROR(AVERAGE(_xlfn._xlws.FILTER(Tabla1[[#Data],[GyX]],Tabla1[[ID]:[ID]]=$A46,0)),"")</f>
        <v/>
      </c>
      <c r="R46" t="str" cm="1">
        <f t="array" ref="R46">IF(IFERROR(MAX(_xlfn._xlws.FILTER(Tabla1[[#Data],[GyX]],Tabla1[[ID]:[ID]]=$A46,0)),"")=0,"",IFERROR(MAX(_xlfn._xlws.FILTER(Tabla1[[#Data],[GyX]],Tabla1[[ID]:[ID]]=$A46,0)),""))</f>
        <v/>
      </c>
      <c r="S46" t="str" cm="1">
        <f t="array" ref="S46">IF(IFERROR(MIN(_xlfn._xlws.FILTER(Tabla1[[#Data],[GyX]],Tabla1[[ID]:[ID]]=$A46,0)),"")=0,"",IFERROR(MIN(_xlfn._xlws.FILTER(Tabla1[[#Data],[GyX]],Tabla1[[ID]:[ID]]=$A46,0)),""))</f>
        <v/>
      </c>
      <c r="T46" t="str" cm="1">
        <f t="array" ref="T46">IFERROR(AVERAGE(_xlfn._xlws.FILTER(Tabla1[[#Data],[GyY]],Tabla1[[ID]:[ID]]=$A46,0)),"")</f>
        <v/>
      </c>
      <c r="U46" t="str" cm="1">
        <f t="array" ref="U46">IF(IFERROR(MAX(_xlfn._xlws.FILTER(Tabla1[[#Data],[GyY]],Tabla1[[ID]:[ID]]=$A46,0)),"")=0,"",IFERROR(MAX(_xlfn._xlws.FILTER(Tabla1[[#Data],[GyY]],Tabla1[[ID]:[ID]]=$A46,0)),""))</f>
        <v/>
      </c>
      <c r="V46" t="str" cm="1">
        <f t="array" ref="V46">IF(IFERROR(MIN(_xlfn._xlws.FILTER(Tabla1[[#Data],[GyY]],Tabla1[[ID]:[ID]]=$A46,0)),"")=0,"",IFERROR(MIN(_xlfn._xlws.FILTER(Tabla1[[#Data],[GyY]],Tabla1[[ID]:[ID]]=$A46,0)),""))</f>
        <v/>
      </c>
      <c r="W46" t="str" cm="1">
        <f t="array" ref="W46">IFERROR(AVERAGE(_xlfn._xlws.FILTER(Tabla1[[#Data],[GyZ]],Tabla1[[ID]:[ID]]=$A46,0)),"")</f>
        <v/>
      </c>
      <c r="X46" t="str" cm="1">
        <f t="array" ref="X46">IF(IFERROR(MAX(_xlfn._xlws.FILTER(Tabla1[[#Data],[GyZ]],Tabla1[[ID]:[ID]]=$A46,0)),"")=0,"",IFERROR(MAX(_xlfn._xlws.FILTER(Tabla1[[#Data],[GyZ]],Tabla1[[ID]:[ID]]=$A46,0)),""))</f>
        <v/>
      </c>
      <c r="Y46" t="str" cm="1">
        <f t="array" ref="Y46">IF(IFERROR(MIN(_xlfn._xlws.FILTER(Tabla1[[#Data],[GyZ]],Tabla1[[ID]:[ID]]=$A46,0)),"")=0,"",IFERROR(MIN(_xlfn._xlws.FILTER(Tabla1[[#Data],[GyZ]],Tabla1[[ID]:[ID]]=$A46,0)),""))</f>
        <v/>
      </c>
      <c r="Z46" t="str" cm="1">
        <f t="array" ref="Z46">IF(ISNUMBER(A46),IF(ISNUMBER(MATCH(1,_xlfn._xlws.FILTER(Tabla1[[#Data],[Open]],Tabla1[[ID]:[ID]]=$A46,""))),1,0),"")</f>
        <v/>
      </c>
      <c r="AA46" t="str">
        <f t="shared" si="0"/>
        <v/>
      </c>
      <c r="AB46" t="str">
        <f t="shared" si="1"/>
        <v/>
      </c>
      <c r="AC46" t="str">
        <f t="shared" si="2"/>
        <v/>
      </c>
      <c r="AD46" t="str">
        <f t="shared" si="3"/>
        <v/>
      </c>
      <c r="AE46" t="str">
        <f t="shared" si="4"/>
        <v/>
      </c>
      <c r="AF46" t="str">
        <f t="shared" si="5"/>
        <v/>
      </c>
      <c r="AG46" t="str">
        <f t="shared" si="6"/>
        <v/>
      </c>
      <c r="AH46" t="str">
        <f t="shared" si="7"/>
        <v/>
      </c>
      <c r="AI46" t="str">
        <f t="shared" si="8"/>
        <v/>
      </c>
      <c r="AJ46" t="str">
        <f t="shared" si="9"/>
        <v/>
      </c>
    </row>
    <row r="47" spans="2:36" x14ac:dyDescent="0.35">
      <c r="B47" t="str" cm="1">
        <f t="array" ref="B47">IFERROR(AVERAGE(_xlfn._xlws.FILTER(Tabla1[[#Data],[Temperatura]],Tabla1[[ID]:[ID]]=$A47,0)),"")</f>
        <v/>
      </c>
      <c r="C47" t="str" cm="1">
        <f t="array" ref="C47">IF(IFERROR(MAX(_xlfn._xlws.FILTER(Tabla1[[#Data],[Temperatura]],Tabla1[[ID]:[ID]]=$A47,0)),"")=0,"",IFERROR(MAX(_xlfn._xlws.FILTER(Tabla1[[#Data],[Temperatura]],Tabla1[[ID]:[ID]]=$A47,0)),""))</f>
        <v/>
      </c>
      <c r="D47" t="str" cm="1">
        <f t="array" ref="D47">IF(IFERROR(MIN(_xlfn._xlws.FILTER(Tabla1[[#Data],[Temperatura]],Tabla1[[ID]:[ID]]=$A47,0)),"")=0,"",IFERROR(MIN(_xlfn._xlws.FILTER(Tabla1[[#Data],[Temperatura]],Tabla1[[ID]:[ID]]=$A47,0)),""))</f>
        <v/>
      </c>
      <c r="E47" t="str" cm="1">
        <f t="array" ref="E47">IFERROR(AVERAGE(_xlfn._xlws.FILTER(Tabla1[[#Data],[Humidade]],Tabla1[[ID]:[ID]]=$A47,0)),"")</f>
        <v/>
      </c>
      <c r="F47" t="str" cm="1">
        <f t="array" ref="F47">IF(IFERROR(MAX(_xlfn._xlws.FILTER(Tabla1[[#Data],[Humidade]],Tabla1[[ID]:[ID]]=$A47,0)),"")=0,"",IFERROR(MAX(_xlfn._xlws.FILTER(Tabla1[[#Data],[Humidade]],Tabla1[[ID]:[ID]]=$A47,0)),""))</f>
        <v/>
      </c>
      <c r="G47" t="str" cm="1">
        <f t="array" ref="G47">IF(IFERROR(MIN(_xlfn._xlws.FILTER(Tabla1[[#Data],[Humidade]],Tabla1[[ID]:[ID]]=$A47,0)),"")=0,"",IFERROR(MIN(_xlfn._xlws.FILTER(Tabla1[[#Data],[Humidade]],Tabla1[[ID]:[ID]]=$A47,0)),""))</f>
        <v/>
      </c>
      <c r="H47" t="str" cm="1">
        <f t="array" ref="H47">IFERROR(AVERAGE(_xlfn._xlws.FILTER(Tabla1[[#Data],[AcX]],Tabla1[[ID]:[ID]]=$A47,0)),"")</f>
        <v/>
      </c>
      <c r="I47" t="str" cm="1">
        <f t="array" ref="I47">IF(IFERROR(MAX(_xlfn._xlws.FILTER(Tabla1[[#Data],[AcX]],Tabla1[[ID]:[ID]]=$A47,0)),"")=0,"",IFERROR(MAX(_xlfn._xlws.FILTER(Tabla1[[#Data],[AcX]],Tabla1[[ID]:[ID]]=$A47,0)),""))</f>
        <v/>
      </c>
      <c r="J47" t="str" cm="1">
        <f t="array" ref="J47">IF(IFERROR(MIN(_xlfn._xlws.FILTER(Tabla1[[#Data],[AcX]],Tabla1[[ID]:[ID]]=$A47,0)),"")=0,"",IFERROR(MIN(_xlfn._xlws.FILTER(Tabla1[[#Data],[AcX]],Tabla1[[ID]:[ID]]=$A47,0)),""))</f>
        <v/>
      </c>
      <c r="K47" t="str" cm="1">
        <f t="array" ref="K47">IFERROR(AVERAGE(_xlfn._xlws.FILTER(Tabla1[[#Data],[AcY]],Tabla1[[ID]:[ID]]=$A47,0)),"")</f>
        <v/>
      </c>
      <c r="L47" t="str" cm="1">
        <f t="array" ref="L47">IF(IFERROR(MAX(_xlfn._xlws.FILTER(Tabla1[[#Data],[AcY]],Tabla1[[ID]:[ID]]=$A47,0)),"")=0,"",IFERROR(MAX(_xlfn._xlws.FILTER(Tabla1[[#Data],[AcY]],Tabla1[[ID]:[ID]]=$A47,0)),""))</f>
        <v/>
      </c>
      <c r="M47" t="str" cm="1">
        <f t="array" ref="M47">IF(IFERROR(MIN(_xlfn._xlws.FILTER(Tabla1[[#Data],[AcY]],Tabla1[[ID]:[ID]]=$A47,0)),"")=0,"",IFERROR(MIN(_xlfn._xlws.FILTER(Tabla1[[#Data],[AcY]],Tabla1[[ID]:[ID]]=$A47,0)),""))</f>
        <v/>
      </c>
      <c r="N47" t="str" cm="1">
        <f t="array" ref="N47">IFERROR(AVERAGE(_xlfn._xlws.FILTER(Tabla1[[#Data],[AcZ]],Tabla1[[ID]:[ID]]=$A47,0)),"")</f>
        <v/>
      </c>
      <c r="O47" t="str" cm="1">
        <f t="array" ref="O47">IF(IFERROR(MAX(_xlfn._xlws.FILTER(Tabla1[[#Data],[AcZ]],Tabla1[[ID]:[ID]]=$A47,0)),"")=0,"",IFERROR(MAX(_xlfn._xlws.FILTER(Tabla1[[#Data],[AcZ]],Tabla1[[ID]:[ID]]=$A47,0)),""))</f>
        <v/>
      </c>
      <c r="P47" t="str" cm="1">
        <f t="array" ref="P47">IF(IFERROR(MIN(_xlfn._xlws.FILTER(Tabla1[[#Data],[AcZ]],Tabla1[[ID]:[ID]]=$A47,0)),"")=0,"",IFERROR(MIN(_xlfn._xlws.FILTER(Tabla1[[#Data],[AcZ]],Tabla1[[ID]:[ID]]=$A47,0)),""))</f>
        <v/>
      </c>
      <c r="Q47" t="str" cm="1">
        <f t="array" ref="Q47">IFERROR(AVERAGE(_xlfn._xlws.FILTER(Tabla1[[#Data],[GyX]],Tabla1[[ID]:[ID]]=$A47,0)),"")</f>
        <v/>
      </c>
      <c r="R47" t="str" cm="1">
        <f t="array" ref="R47">IF(IFERROR(MAX(_xlfn._xlws.FILTER(Tabla1[[#Data],[GyX]],Tabla1[[ID]:[ID]]=$A47,0)),"")=0,"",IFERROR(MAX(_xlfn._xlws.FILTER(Tabla1[[#Data],[GyX]],Tabla1[[ID]:[ID]]=$A47,0)),""))</f>
        <v/>
      </c>
      <c r="S47" t="str" cm="1">
        <f t="array" ref="S47">IF(IFERROR(MIN(_xlfn._xlws.FILTER(Tabla1[[#Data],[GyX]],Tabla1[[ID]:[ID]]=$A47,0)),"")=0,"",IFERROR(MIN(_xlfn._xlws.FILTER(Tabla1[[#Data],[GyX]],Tabla1[[ID]:[ID]]=$A47,0)),""))</f>
        <v/>
      </c>
      <c r="T47" t="str" cm="1">
        <f t="array" ref="T47">IFERROR(AVERAGE(_xlfn._xlws.FILTER(Tabla1[[#Data],[GyY]],Tabla1[[ID]:[ID]]=$A47,0)),"")</f>
        <v/>
      </c>
      <c r="U47" t="str" cm="1">
        <f t="array" ref="U47">IF(IFERROR(MAX(_xlfn._xlws.FILTER(Tabla1[[#Data],[GyY]],Tabla1[[ID]:[ID]]=$A47,0)),"")=0,"",IFERROR(MAX(_xlfn._xlws.FILTER(Tabla1[[#Data],[GyY]],Tabla1[[ID]:[ID]]=$A47,0)),""))</f>
        <v/>
      </c>
      <c r="V47" t="str" cm="1">
        <f t="array" ref="V47">IF(IFERROR(MIN(_xlfn._xlws.FILTER(Tabla1[[#Data],[GyY]],Tabla1[[ID]:[ID]]=$A47,0)),"")=0,"",IFERROR(MIN(_xlfn._xlws.FILTER(Tabla1[[#Data],[GyY]],Tabla1[[ID]:[ID]]=$A47,0)),""))</f>
        <v/>
      </c>
      <c r="W47" t="str" cm="1">
        <f t="array" ref="W47">IFERROR(AVERAGE(_xlfn._xlws.FILTER(Tabla1[[#Data],[GyZ]],Tabla1[[ID]:[ID]]=$A47,0)),"")</f>
        <v/>
      </c>
      <c r="X47" t="str" cm="1">
        <f t="array" ref="X47">IF(IFERROR(MAX(_xlfn._xlws.FILTER(Tabla1[[#Data],[GyZ]],Tabla1[[ID]:[ID]]=$A47,0)),"")=0,"",IFERROR(MAX(_xlfn._xlws.FILTER(Tabla1[[#Data],[GyZ]],Tabla1[[ID]:[ID]]=$A47,0)),""))</f>
        <v/>
      </c>
      <c r="Y47" t="str" cm="1">
        <f t="array" ref="Y47">IF(IFERROR(MIN(_xlfn._xlws.FILTER(Tabla1[[#Data],[GyZ]],Tabla1[[ID]:[ID]]=$A47,0)),"")=0,"",IFERROR(MIN(_xlfn._xlws.FILTER(Tabla1[[#Data],[GyZ]],Tabla1[[ID]:[ID]]=$A47,0)),""))</f>
        <v/>
      </c>
      <c r="Z47" t="str" cm="1">
        <f t="array" ref="Z47">IF(ISNUMBER(A47),IF(ISNUMBER(MATCH(1,_xlfn._xlws.FILTER(Tabla1[[#Data],[Open]],Tabla1[[ID]:[ID]]=$A47,""))),1,0),"")</f>
        <v/>
      </c>
      <c r="AA47" t="str">
        <f t="shared" si="0"/>
        <v/>
      </c>
      <c r="AB47" t="str">
        <f t="shared" si="1"/>
        <v/>
      </c>
      <c r="AC47" t="str">
        <f t="shared" si="2"/>
        <v/>
      </c>
      <c r="AD47" t="str">
        <f t="shared" si="3"/>
        <v/>
      </c>
      <c r="AE47" t="str">
        <f t="shared" si="4"/>
        <v/>
      </c>
      <c r="AF47" t="str">
        <f t="shared" si="5"/>
        <v/>
      </c>
      <c r="AG47" t="str">
        <f t="shared" si="6"/>
        <v/>
      </c>
      <c r="AH47" t="str">
        <f t="shared" si="7"/>
        <v/>
      </c>
      <c r="AI47" t="str">
        <f t="shared" si="8"/>
        <v/>
      </c>
      <c r="AJ47" t="str">
        <f t="shared" si="9"/>
        <v/>
      </c>
    </row>
    <row r="48" spans="2:36" x14ac:dyDescent="0.35">
      <c r="B48" t="str" cm="1">
        <f t="array" ref="B48">IFERROR(AVERAGE(_xlfn._xlws.FILTER(Tabla1[[#Data],[Temperatura]],Tabla1[[ID]:[ID]]=$A48,0)),"")</f>
        <v/>
      </c>
      <c r="C48" t="str" cm="1">
        <f t="array" ref="C48">IF(IFERROR(MAX(_xlfn._xlws.FILTER(Tabla1[[#Data],[Temperatura]],Tabla1[[ID]:[ID]]=$A48,0)),"")=0,"",IFERROR(MAX(_xlfn._xlws.FILTER(Tabla1[[#Data],[Temperatura]],Tabla1[[ID]:[ID]]=$A48,0)),""))</f>
        <v/>
      </c>
      <c r="D48" t="str" cm="1">
        <f t="array" ref="D48">IF(IFERROR(MIN(_xlfn._xlws.FILTER(Tabla1[[#Data],[Temperatura]],Tabla1[[ID]:[ID]]=$A48,0)),"")=0,"",IFERROR(MIN(_xlfn._xlws.FILTER(Tabla1[[#Data],[Temperatura]],Tabla1[[ID]:[ID]]=$A48,0)),""))</f>
        <v/>
      </c>
      <c r="E48" t="str" cm="1">
        <f t="array" ref="E48">IFERROR(AVERAGE(_xlfn._xlws.FILTER(Tabla1[[#Data],[Humidade]],Tabla1[[ID]:[ID]]=$A48,0)),"")</f>
        <v/>
      </c>
      <c r="F48" t="str" cm="1">
        <f t="array" ref="F48">IF(IFERROR(MAX(_xlfn._xlws.FILTER(Tabla1[[#Data],[Humidade]],Tabla1[[ID]:[ID]]=$A48,0)),"")=0,"",IFERROR(MAX(_xlfn._xlws.FILTER(Tabla1[[#Data],[Humidade]],Tabla1[[ID]:[ID]]=$A48,0)),""))</f>
        <v/>
      </c>
      <c r="G48" t="str" cm="1">
        <f t="array" ref="G48">IF(IFERROR(MIN(_xlfn._xlws.FILTER(Tabla1[[#Data],[Humidade]],Tabla1[[ID]:[ID]]=$A48,0)),"")=0,"",IFERROR(MIN(_xlfn._xlws.FILTER(Tabla1[[#Data],[Humidade]],Tabla1[[ID]:[ID]]=$A48,0)),""))</f>
        <v/>
      </c>
      <c r="H48" t="str" cm="1">
        <f t="array" ref="H48">IFERROR(AVERAGE(_xlfn._xlws.FILTER(Tabla1[[#Data],[AcX]],Tabla1[[ID]:[ID]]=$A48,0)),"")</f>
        <v/>
      </c>
      <c r="I48" t="str" cm="1">
        <f t="array" ref="I48">IF(IFERROR(MAX(_xlfn._xlws.FILTER(Tabla1[[#Data],[AcX]],Tabla1[[ID]:[ID]]=$A48,0)),"")=0,"",IFERROR(MAX(_xlfn._xlws.FILTER(Tabla1[[#Data],[AcX]],Tabla1[[ID]:[ID]]=$A48,0)),""))</f>
        <v/>
      </c>
      <c r="J48" t="str" cm="1">
        <f t="array" ref="J48">IF(IFERROR(MIN(_xlfn._xlws.FILTER(Tabla1[[#Data],[AcX]],Tabla1[[ID]:[ID]]=$A48,0)),"")=0,"",IFERROR(MIN(_xlfn._xlws.FILTER(Tabla1[[#Data],[AcX]],Tabla1[[ID]:[ID]]=$A48,0)),""))</f>
        <v/>
      </c>
      <c r="K48" t="str" cm="1">
        <f t="array" ref="K48">IFERROR(AVERAGE(_xlfn._xlws.FILTER(Tabla1[[#Data],[AcY]],Tabla1[[ID]:[ID]]=$A48,0)),"")</f>
        <v/>
      </c>
      <c r="L48" t="str" cm="1">
        <f t="array" ref="L48">IF(IFERROR(MAX(_xlfn._xlws.FILTER(Tabla1[[#Data],[AcY]],Tabla1[[ID]:[ID]]=$A48,0)),"")=0,"",IFERROR(MAX(_xlfn._xlws.FILTER(Tabla1[[#Data],[AcY]],Tabla1[[ID]:[ID]]=$A48,0)),""))</f>
        <v/>
      </c>
      <c r="M48" t="str" cm="1">
        <f t="array" ref="M48">IF(IFERROR(MIN(_xlfn._xlws.FILTER(Tabla1[[#Data],[AcY]],Tabla1[[ID]:[ID]]=$A48,0)),"")=0,"",IFERROR(MIN(_xlfn._xlws.FILTER(Tabla1[[#Data],[AcY]],Tabla1[[ID]:[ID]]=$A48,0)),""))</f>
        <v/>
      </c>
      <c r="N48" t="str" cm="1">
        <f t="array" ref="N48">IFERROR(AVERAGE(_xlfn._xlws.FILTER(Tabla1[[#Data],[AcZ]],Tabla1[[ID]:[ID]]=$A48,0)),"")</f>
        <v/>
      </c>
      <c r="O48" t="str" cm="1">
        <f t="array" ref="O48">IF(IFERROR(MAX(_xlfn._xlws.FILTER(Tabla1[[#Data],[AcZ]],Tabla1[[ID]:[ID]]=$A48,0)),"")=0,"",IFERROR(MAX(_xlfn._xlws.FILTER(Tabla1[[#Data],[AcZ]],Tabla1[[ID]:[ID]]=$A48,0)),""))</f>
        <v/>
      </c>
      <c r="P48" t="str" cm="1">
        <f t="array" ref="P48">IF(IFERROR(MIN(_xlfn._xlws.FILTER(Tabla1[[#Data],[AcZ]],Tabla1[[ID]:[ID]]=$A48,0)),"")=0,"",IFERROR(MIN(_xlfn._xlws.FILTER(Tabla1[[#Data],[AcZ]],Tabla1[[ID]:[ID]]=$A48,0)),""))</f>
        <v/>
      </c>
      <c r="Q48" t="str" cm="1">
        <f t="array" ref="Q48">IFERROR(AVERAGE(_xlfn._xlws.FILTER(Tabla1[[#Data],[GyX]],Tabla1[[ID]:[ID]]=$A48,0)),"")</f>
        <v/>
      </c>
      <c r="R48" t="str" cm="1">
        <f t="array" ref="R48">IF(IFERROR(MAX(_xlfn._xlws.FILTER(Tabla1[[#Data],[GyX]],Tabla1[[ID]:[ID]]=$A48,0)),"")=0,"",IFERROR(MAX(_xlfn._xlws.FILTER(Tabla1[[#Data],[GyX]],Tabla1[[ID]:[ID]]=$A48,0)),""))</f>
        <v/>
      </c>
      <c r="S48" t="str" cm="1">
        <f t="array" ref="S48">IF(IFERROR(MIN(_xlfn._xlws.FILTER(Tabla1[[#Data],[GyX]],Tabla1[[ID]:[ID]]=$A48,0)),"")=0,"",IFERROR(MIN(_xlfn._xlws.FILTER(Tabla1[[#Data],[GyX]],Tabla1[[ID]:[ID]]=$A48,0)),""))</f>
        <v/>
      </c>
      <c r="T48" t="str" cm="1">
        <f t="array" ref="T48">IFERROR(AVERAGE(_xlfn._xlws.FILTER(Tabla1[[#Data],[GyY]],Tabla1[[ID]:[ID]]=$A48,0)),"")</f>
        <v/>
      </c>
      <c r="U48" t="str" cm="1">
        <f t="array" ref="U48">IF(IFERROR(MAX(_xlfn._xlws.FILTER(Tabla1[[#Data],[GyY]],Tabla1[[ID]:[ID]]=$A48,0)),"")=0,"",IFERROR(MAX(_xlfn._xlws.FILTER(Tabla1[[#Data],[GyY]],Tabla1[[ID]:[ID]]=$A48,0)),""))</f>
        <v/>
      </c>
      <c r="V48" t="str" cm="1">
        <f t="array" ref="V48">IF(IFERROR(MIN(_xlfn._xlws.FILTER(Tabla1[[#Data],[GyY]],Tabla1[[ID]:[ID]]=$A48,0)),"")=0,"",IFERROR(MIN(_xlfn._xlws.FILTER(Tabla1[[#Data],[GyY]],Tabla1[[ID]:[ID]]=$A48,0)),""))</f>
        <v/>
      </c>
      <c r="W48" t="str" cm="1">
        <f t="array" ref="W48">IFERROR(AVERAGE(_xlfn._xlws.FILTER(Tabla1[[#Data],[GyZ]],Tabla1[[ID]:[ID]]=$A48,0)),"")</f>
        <v/>
      </c>
      <c r="X48" t="str" cm="1">
        <f t="array" ref="X48">IF(IFERROR(MAX(_xlfn._xlws.FILTER(Tabla1[[#Data],[GyZ]],Tabla1[[ID]:[ID]]=$A48,0)),"")=0,"",IFERROR(MAX(_xlfn._xlws.FILTER(Tabla1[[#Data],[GyZ]],Tabla1[[ID]:[ID]]=$A48,0)),""))</f>
        <v/>
      </c>
      <c r="Y48" t="str" cm="1">
        <f t="array" ref="Y48">IF(IFERROR(MIN(_xlfn._xlws.FILTER(Tabla1[[#Data],[GyZ]],Tabla1[[ID]:[ID]]=$A48,0)),"")=0,"",IFERROR(MIN(_xlfn._xlws.FILTER(Tabla1[[#Data],[GyZ]],Tabla1[[ID]:[ID]]=$A48,0)),""))</f>
        <v/>
      </c>
      <c r="Z48" t="str" cm="1">
        <f t="array" ref="Z48">IF(ISNUMBER(A48),IF(ISNUMBER(MATCH(1,_xlfn._xlws.FILTER(Tabla1[[#Data],[Open]],Tabla1[[ID]:[ID]]=$A48,""))),1,0),"")</f>
        <v/>
      </c>
      <c r="AA48" t="str">
        <f t="shared" si="0"/>
        <v/>
      </c>
      <c r="AB48" t="str">
        <f t="shared" si="1"/>
        <v/>
      </c>
      <c r="AC48" t="str">
        <f t="shared" si="2"/>
        <v/>
      </c>
      <c r="AD48" t="str">
        <f t="shared" si="3"/>
        <v/>
      </c>
      <c r="AE48" t="str">
        <f t="shared" si="4"/>
        <v/>
      </c>
      <c r="AF48" t="str">
        <f t="shared" si="5"/>
        <v/>
      </c>
      <c r="AG48" t="str">
        <f t="shared" si="6"/>
        <v/>
      </c>
      <c r="AH48" t="str">
        <f t="shared" si="7"/>
        <v/>
      </c>
      <c r="AI48" t="str">
        <f t="shared" si="8"/>
        <v/>
      </c>
      <c r="AJ48" t="str">
        <f t="shared" si="9"/>
        <v/>
      </c>
    </row>
    <row r="49" spans="2:36" x14ac:dyDescent="0.35">
      <c r="B49" t="str" cm="1">
        <f t="array" ref="B49">IFERROR(AVERAGE(_xlfn._xlws.FILTER(Tabla1[[#Data],[Temperatura]],Tabla1[[ID]:[ID]]=$A49,0)),"")</f>
        <v/>
      </c>
      <c r="C49" t="str" cm="1">
        <f t="array" ref="C49">IF(IFERROR(MAX(_xlfn._xlws.FILTER(Tabla1[[#Data],[Temperatura]],Tabla1[[ID]:[ID]]=$A49,0)),"")=0,"",IFERROR(MAX(_xlfn._xlws.FILTER(Tabla1[[#Data],[Temperatura]],Tabla1[[ID]:[ID]]=$A49,0)),""))</f>
        <v/>
      </c>
      <c r="D49" t="str" cm="1">
        <f t="array" ref="D49">IF(IFERROR(MIN(_xlfn._xlws.FILTER(Tabla1[[#Data],[Temperatura]],Tabla1[[ID]:[ID]]=$A49,0)),"")=0,"",IFERROR(MIN(_xlfn._xlws.FILTER(Tabla1[[#Data],[Temperatura]],Tabla1[[ID]:[ID]]=$A49,0)),""))</f>
        <v/>
      </c>
      <c r="E49" t="str" cm="1">
        <f t="array" ref="E49">IFERROR(AVERAGE(_xlfn._xlws.FILTER(Tabla1[[#Data],[Humidade]],Tabla1[[ID]:[ID]]=$A49,0)),"")</f>
        <v/>
      </c>
      <c r="F49" t="str" cm="1">
        <f t="array" ref="F49">IF(IFERROR(MAX(_xlfn._xlws.FILTER(Tabla1[[#Data],[Humidade]],Tabla1[[ID]:[ID]]=$A49,0)),"")=0,"",IFERROR(MAX(_xlfn._xlws.FILTER(Tabla1[[#Data],[Humidade]],Tabla1[[ID]:[ID]]=$A49,0)),""))</f>
        <v/>
      </c>
      <c r="G49" t="str" cm="1">
        <f t="array" ref="G49">IF(IFERROR(MIN(_xlfn._xlws.FILTER(Tabla1[[#Data],[Humidade]],Tabla1[[ID]:[ID]]=$A49,0)),"")=0,"",IFERROR(MIN(_xlfn._xlws.FILTER(Tabla1[[#Data],[Humidade]],Tabla1[[ID]:[ID]]=$A49,0)),""))</f>
        <v/>
      </c>
      <c r="H49" t="str" cm="1">
        <f t="array" ref="H49">IFERROR(AVERAGE(_xlfn._xlws.FILTER(Tabla1[[#Data],[AcX]],Tabla1[[ID]:[ID]]=$A49,0)),"")</f>
        <v/>
      </c>
      <c r="I49" t="str" cm="1">
        <f t="array" ref="I49">IF(IFERROR(MAX(_xlfn._xlws.FILTER(Tabla1[[#Data],[AcX]],Tabla1[[ID]:[ID]]=$A49,0)),"")=0,"",IFERROR(MAX(_xlfn._xlws.FILTER(Tabla1[[#Data],[AcX]],Tabla1[[ID]:[ID]]=$A49,0)),""))</f>
        <v/>
      </c>
      <c r="J49" t="str" cm="1">
        <f t="array" ref="J49">IF(IFERROR(MIN(_xlfn._xlws.FILTER(Tabla1[[#Data],[AcX]],Tabla1[[ID]:[ID]]=$A49,0)),"")=0,"",IFERROR(MIN(_xlfn._xlws.FILTER(Tabla1[[#Data],[AcX]],Tabla1[[ID]:[ID]]=$A49,0)),""))</f>
        <v/>
      </c>
      <c r="K49" t="str" cm="1">
        <f t="array" ref="K49">IFERROR(AVERAGE(_xlfn._xlws.FILTER(Tabla1[[#Data],[AcY]],Tabla1[[ID]:[ID]]=$A49,0)),"")</f>
        <v/>
      </c>
      <c r="L49" t="str" cm="1">
        <f t="array" ref="L49">IF(IFERROR(MAX(_xlfn._xlws.FILTER(Tabla1[[#Data],[AcY]],Tabla1[[ID]:[ID]]=$A49,0)),"")=0,"",IFERROR(MAX(_xlfn._xlws.FILTER(Tabla1[[#Data],[AcY]],Tabla1[[ID]:[ID]]=$A49,0)),""))</f>
        <v/>
      </c>
      <c r="M49" t="str" cm="1">
        <f t="array" ref="M49">IF(IFERROR(MIN(_xlfn._xlws.FILTER(Tabla1[[#Data],[AcY]],Tabla1[[ID]:[ID]]=$A49,0)),"")=0,"",IFERROR(MIN(_xlfn._xlws.FILTER(Tabla1[[#Data],[AcY]],Tabla1[[ID]:[ID]]=$A49,0)),""))</f>
        <v/>
      </c>
      <c r="N49" t="str" cm="1">
        <f t="array" ref="N49">IFERROR(AVERAGE(_xlfn._xlws.FILTER(Tabla1[[#Data],[AcZ]],Tabla1[[ID]:[ID]]=$A49,0)),"")</f>
        <v/>
      </c>
      <c r="O49" t="str" cm="1">
        <f t="array" ref="O49">IF(IFERROR(MAX(_xlfn._xlws.FILTER(Tabla1[[#Data],[AcZ]],Tabla1[[ID]:[ID]]=$A49,0)),"")=0,"",IFERROR(MAX(_xlfn._xlws.FILTER(Tabla1[[#Data],[AcZ]],Tabla1[[ID]:[ID]]=$A49,0)),""))</f>
        <v/>
      </c>
      <c r="P49" t="str" cm="1">
        <f t="array" ref="P49">IF(IFERROR(MIN(_xlfn._xlws.FILTER(Tabla1[[#Data],[AcZ]],Tabla1[[ID]:[ID]]=$A49,0)),"")=0,"",IFERROR(MIN(_xlfn._xlws.FILTER(Tabla1[[#Data],[AcZ]],Tabla1[[ID]:[ID]]=$A49,0)),""))</f>
        <v/>
      </c>
      <c r="Q49" t="str" cm="1">
        <f t="array" ref="Q49">IFERROR(AVERAGE(_xlfn._xlws.FILTER(Tabla1[[#Data],[GyX]],Tabla1[[ID]:[ID]]=$A49,0)),"")</f>
        <v/>
      </c>
      <c r="R49" t="str" cm="1">
        <f t="array" ref="R49">IF(IFERROR(MAX(_xlfn._xlws.FILTER(Tabla1[[#Data],[GyX]],Tabla1[[ID]:[ID]]=$A49,0)),"")=0,"",IFERROR(MAX(_xlfn._xlws.FILTER(Tabla1[[#Data],[GyX]],Tabla1[[ID]:[ID]]=$A49,0)),""))</f>
        <v/>
      </c>
      <c r="S49" t="str" cm="1">
        <f t="array" ref="S49">IF(IFERROR(MIN(_xlfn._xlws.FILTER(Tabla1[[#Data],[GyX]],Tabla1[[ID]:[ID]]=$A49,0)),"")=0,"",IFERROR(MIN(_xlfn._xlws.FILTER(Tabla1[[#Data],[GyX]],Tabla1[[ID]:[ID]]=$A49,0)),""))</f>
        <v/>
      </c>
      <c r="T49" t="str" cm="1">
        <f t="array" ref="T49">IFERROR(AVERAGE(_xlfn._xlws.FILTER(Tabla1[[#Data],[GyY]],Tabla1[[ID]:[ID]]=$A49,0)),"")</f>
        <v/>
      </c>
      <c r="U49" t="str" cm="1">
        <f t="array" ref="U49">IF(IFERROR(MAX(_xlfn._xlws.FILTER(Tabla1[[#Data],[GyY]],Tabla1[[ID]:[ID]]=$A49,0)),"")=0,"",IFERROR(MAX(_xlfn._xlws.FILTER(Tabla1[[#Data],[GyY]],Tabla1[[ID]:[ID]]=$A49,0)),""))</f>
        <v/>
      </c>
      <c r="V49" t="str" cm="1">
        <f t="array" ref="V49">IF(IFERROR(MIN(_xlfn._xlws.FILTER(Tabla1[[#Data],[GyY]],Tabla1[[ID]:[ID]]=$A49,0)),"")=0,"",IFERROR(MIN(_xlfn._xlws.FILTER(Tabla1[[#Data],[GyY]],Tabla1[[ID]:[ID]]=$A49,0)),""))</f>
        <v/>
      </c>
      <c r="W49" t="str" cm="1">
        <f t="array" ref="W49">IFERROR(AVERAGE(_xlfn._xlws.FILTER(Tabla1[[#Data],[GyZ]],Tabla1[[ID]:[ID]]=$A49,0)),"")</f>
        <v/>
      </c>
      <c r="X49" t="str" cm="1">
        <f t="array" ref="X49">IF(IFERROR(MAX(_xlfn._xlws.FILTER(Tabla1[[#Data],[GyZ]],Tabla1[[ID]:[ID]]=$A49,0)),"")=0,"",IFERROR(MAX(_xlfn._xlws.FILTER(Tabla1[[#Data],[GyZ]],Tabla1[[ID]:[ID]]=$A49,0)),""))</f>
        <v/>
      </c>
      <c r="Y49" t="str" cm="1">
        <f t="array" ref="Y49">IF(IFERROR(MIN(_xlfn._xlws.FILTER(Tabla1[[#Data],[GyZ]],Tabla1[[ID]:[ID]]=$A49,0)),"")=0,"",IFERROR(MIN(_xlfn._xlws.FILTER(Tabla1[[#Data],[GyZ]],Tabla1[[ID]:[ID]]=$A49,0)),""))</f>
        <v/>
      </c>
      <c r="Z49" t="str" cm="1">
        <f t="array" ref="Z49">IF(ISNUMBER(A49),IF(ISNUMBER(MATCH(1,_xlfn._xlws.FILTER(Tabla1[[#Data],[Open]],Tabla1[[ID]:[ID]]=$A49,""))),1,0),"")</f>
        <v/>
      </c>
      <c r="AA49" t="str">
        <f t="shared" si="0"/>
        <v/>
      </c>
      <c r="AB49" t="str">
        <f t="shared" si="1"/>
        <v/>
      </c>
      <c r="AC49" t="str">
        <f t="shared" si="2"/>
        <v/>
      </c>
      <c r="AD49" t="str">
        <f t="shared" si="3"/>
        <v/>
      </c>
      <c r="AE49" t="str">
        <f t="shared" si="4"/>
        <v/>
      </c>
      <c r="AF49" t="str">
        <f t="shared" si="5"/>
        <v/>
      </c>
      <c r="AG49" t="str">
        <f t="shared" si="6"/>
        <v/>
      </c>
      <c r="AH49" t="str">
        <f t="shared" si="7"/>
        <v/>
      </c>
      <c r="AI49" t="str">
        <f t="shared" si="8"/>
        <v/>
      </c>
      <c r="AJ49" t="str">
        <f t="shared" si="9"/>
        <v/>
      </c>
    </row>
    <row r="50" spans="2:36" x14ac:dyDescent="0.35">
      <c r="B50" t="str" cm="1">
        <f t="array" ref="B50">IFERROR(AVERAGE(_xlfn._xlws.FILTER(Tabla1[[#Data],[Temperatura]],Tabla1[[ID]:[ID]]=$A50,0)),"")</f>
        <v/>
      </c>
      <c r="C50" t="str" cm="1">
        <f t="array" ref="C50">IF(IFERROR(MAX(_xlfn._xlws.FILTER(Tabla1[[#Data],[Temperatura]],Tabla1[[ID]:[ID]]=$A50,0)),"")=0,"",IFERROR(MAX(_xlfn._xlws.FILTER(Tabla1[[#Data],[Temperatura]],Tabla1[[ID]:[ID]]=$A50,0)),""))</f>
        <v/>
      </c>
      <c r="D50" t="str" cm="1">
        <f t="array" ref="D50">IF(IFERROR(MIN(_xlfn._xlws.FILTER(Tabla1[[#Data],[Temperatura]],Tabla1[[ID]:[ID]]=$A50,0)),"")=0,"",IFERROR(MIN(_xlfn._xlws.FILTER(Tabla1[[#Data],[Temperatura]],Tabla1[[ID]:[ID]]=$A50,0)),""))</f>
        <v/>
      </c>
      <c r="E50" t="str" cm="1">
        <f t="array" ref="E50">IFERROR(AVERAGE(_xlfn._xlws.FILTER(Tabla1[[#Data],[Humidade]],Tabla1[[ID]:[ID]]=$A50,0)),"")</f>
        <v/>
      </c>
      <c r="F50" t="str" cm="1">
        <f t="array" ref="F50">IF(IFERROR(MAX(_xlfn._xlws.FILTER(Tabla1[[#Data],[Humidade]],Tabla1[[ID]:[ID]]=$A50,0)),"")=0,"",IFERROR(MAX(_xlfn._xlws.FILTER(Tabla1[[#Data],[Humidade]],Tabla1[[ID]:[ID]]=$A50,0)),""))</f>
        <v/>
      </c>
      <c r="G50" t="str" cm="1">
        <f t="array" ref="G50">IF(IFERROR(MIN(_xlfn._xlws.FILTER(Tabla1[[#Data],[Humidade]],Tabla1[[ID]:[ID]]=$A50,0)),"")=0,"",IFERROR(MIN(_xlfn._xlws.FILTER(Tabla1[[#Data],[Humidade]],Tabla1[[ID]:[ID]]=$A50,0)),""))</f>
        <v/>
      </c>
      <c r="H50" t="str" cm="1">
        <f t="array" ref="H50">IFERROR(AVERAGE(_xlfn._xlws.FILTER(Tabla1[[#Data],[AcX]],Tabla1[[ID]:[ID]]=$A50,0)),"")</f>
        <v/>
      </c>
      <c r="I50" t="str" cm="1">
        <f t="array" ref="I50">IF(IFERROR(MAX(_xlfn._xlws.FILTER(Tabla1[[#Data],[AcX]],Tabla1[[ID]:[ID]]=$A50,0)),"")=0,"",IFERROR(MAX(_xlfn._xlws.FILTER(Tabla1[[#Data],[AcX]],Tabla1[[ID]:[ID]]=$A50,0)),""))</f>
        <v/>
      </c>
      <c r="J50" t="str" cm="1">
        <f t="array" ref="J50">IF(IFERROR(MIN(_xlfn._xlws.FILTER(Tabla1[[#Data],[AcX]],Tabla1[[ID]:[ID]]=$A50,0)),"")=0,"",IFERROR(MIN(_xlfn._xlws.FILTER(Tabla1[[#Data],[AcX]],Tabla1[[ID]:[ID]]=$A50,0)),""))</f>
        <v/>
      </c>
      <c r="K50" t="str" cm="1">
        <f t="array" ref="K50">IFERROR(AVERAGE(_xlfn._xlws.FILTER(Tabla1[[#Data],[AcY]],Tabla1[[ID]:[ID]]=$A50,0)),"")</f>
        <v/>
      </c>
      <c r="L50" t="str" cm="1">
        <f t="array" ref="L50">IF(IFERROR(MAX(_xlfn._xlws.FILTER(Tabla1[[#Data],[AcY]],Tabla1[[ID]:[ID]]=$A50,0)),"")=0,"",IFERROR(MAX(_xlfn._xlws.FILTER(Tabla1[[#Data],[AcY]],Tabla1[[ID]:[ID]]=$A50,0)),""))</f>
        <v/>
      </c>
      <c r="M50" t="str" cm="1">
        <f t="array" ref="M50">IF(IFERROR(MIN(_xlfn._xlws.FILTER(Tabla1[[#Data],[AcY]],Tabla1[[ID]:[ID]]=$A50,0)),"")=0,"",IFERROR(MIN(_xlfn._xlws.FILTER(Tabla1[[#Data],[AcY]],Tabla1[[ID]:[ID]]=$A50,0)),""))</f>
        <v/>
      </c>
      <c r="N50" t="str" cm="1">
        <f t="array" ref="N50">IFERROR(AVERAGE(_xlfn._xlws.FILTER(Tabla1[[#Data],[AcZ]],Tabla1[[ID]:[ID]]=$A50,0)),"")</f>
        <v/>
      </c>
      <c r="O50" t="str" cm="1">
        <f t="array" ref="O50">IF(IFERROR(MAX(_xlfn._xlws.FILTER(Tabla1[[#Data],[AcZ]],Tabla1[[ID]:[ID]]=$A50,0)),"")=0,"",IFERROR(MAX(_xlfn._xlws.FILTER(Tabla1[[#Data],[AcZ]],Tabla1[[ID]:[ID]]=$A50,0)),""))</f>
        <v/>
      </c>
      <c r="P50" t="str" cm="1">
        <f t="array" ref="P50">IF(IFERROR(MIN(_xlfn._xlws.FILTER(Tabla1[[#Data],[AcZ]],Tabla1[[ID]:[ID]]=$A50,0)),"")=0,"",IFERROR(MIN(_xlfn._xlws.FILTER(Tabla1[[#Data],[AcZ]],Tabla1[[ID]:[ID]]=$A50,0)),""))</f>
        <v/>
      </c>
      <c r="Q50" t="str" cm="1">
        <f t="array" ref="Q50">IFERROR(AVERAGE(_xlfn._xlws.FILTER(Tabla1[[#Data],[GyX]],Tabla1[[ID]:[ID]]=$A50,0)),"")</f>
        <v/>
      </c>
      <c r="R50" t="str" cm="1">
        <f t="array" ref="R50">IF(IFERROR(MAX(_xlfn._xlws.FILTER(Tabla1[[#Data],[GyX]],Tabla1[[ID]:[ID]]=$A50,0)),"")=0,"",IFERROR(MAX(_xlfn._xlws.FILTER(Tabla1[[#Data],[GyX]],Tabla1[[ID]:[ID]]=$A50,0)),""))</f>
        <v/>
      </c>
      <c r="S50" t="str" cm="1">
        <f t="array" ref="S50">IF(IFERROR(MIN(_xlfn._xlws.FILTER(Tabla1[[#Data],[GyX]],Tabla1[[ID]:[ID]]=$A50,0)),"")=0,"",IFERROR(MIN(_xlfn._xlws.FILTER(Tabla1[[#Data],[GyX]],Tabla1[[ID]:[ID]]=$A50,0)),""))</f>
        <v/>
      </c>
      <c r="T50" t="str" cm="1">
        <f t="array" ref="T50">IFERROR(AVERAGE(_xlfn._xlws.FILTER(Tabla1[[#Data],[GyY]],Tabla1[[ID]:[ID]]=$A50,0)),"")</f>
        <v/>
      </c>
      <c r="U50" t="str" cm="1">
        <f t="array" ref="U50">IF(IFERROR(MAX(_xlfn._xlws.FILTER(Tabla1[[#Data],[GyY]],Tabla1[[ID]:[ID]]=$A50,0)),"")=0,"",IFERROR(MAX(_xlfn._xlws.FILTER(Tabla1[[#Data],[GyY]],Tabla1[[ID]:[ID]]=$A50,0)),""))</f>
        <v/>
      </c>
      <c r="V50" t="str" cm="1">
        <f t="array" ref="V50">IF(IFERROR(MIN(_xlfn._xlws.FILTER(Tabla1[[#Data],[GyY]],Tabla1[[ID]:[ID]]=$A50,0)),"")=0,"",IFERROR(MIN(_xlfn._xlws.FILTER(Tabla1[[#Data],[GyY]],Tabla1[[ID]:[ID]]=$A50,0)),""))</f>
        <v/>
      </c>
      <c r="W50" t="str" cm="1">
        <f t="array" ref="W50">IFERROR(AVERAGE(_xlfn._xlws.FILTER(Tabla1[[#Data],[GyZ]],Tabla1[[ID]:[ID]]=$A50,0)),"")</f>
        <v/>
      </c>
      <c r="X50" t="str" cm="1">
        <f t="array" ref="X50">IF(IFERROR(MAX(_xlfn._xlws.FILTER(Tabla1[[#Data],[GyZ]],Tabla1[[ID]:[ID]]=$A50,0)),"")=0,"",IFERROR(MAX(_xlfn._xlws.FILTER(Tabla1[[#Data],[GyZ]],Tabla1[[ID]:[ID]]=$A50,0)),""))</f>
        <v/>
      </c>
      <c r="Y50" t="str" cm="1">
        <f t="array" ref="Y50">IF(IFERROR(MIN(_xlfn._xlws.FILTER(Tabla1[[#Data],[GyZ]],Tabla1[[ID]:[ID]]=$A50,0)),"")=0,"",IFERROR(MIN(_xlfn._xlws.FILTER(Tabla1[[#Data],[GyZ]],Tabla1[[ID]:[ID]]=$A50,0)),""))</f>
        <v/>
      </c>
      <c r="Z50" t="str" cm="1">
        <f t="array" ref="Z50">IF(ISNUMBER(A50),IF(ISNUMBER(MATCH(1,_xlfn._xlws.FILTER(Tabla1[[#Data],[Open]],Tabla1[[ID]:[ID]]=$A50,""))),1,0),"")</f>
        <v/>
      </c>
      <c r="AA50" t="str">
        <f t="shared" si="0"/>
        <v/>
      </c>
      <c r="AB50" t="str">
        <f t="shared" si="1"/>
        <v/>
      </c>
      <c r="AC50" t="str">
        <f t="shared" si="2"/>
        <v/>
      </c>
      <c r="AD50" t="str">
        <f t="shared" si="3"/>
        <v/>
      </c>
      <c r="AE50" t="str">
        <f t="shared" si="4"/>
        <v/>
      </c>
      <c r="AF50" t="str">
        <f t="shared" si="5"/>
        <v/>
      </c>
      <c r="AG50" t="str">
        <f t="shared" si="6"/>
        <v/>
      </c>
      <c r="AH50" t="str">
        <f t="shared" si="7"/>
        <v/>
      </c>
      <c r="AI50" t="str">
        <f t="shared" si="8"/>
        <v/>
      </c>
      <c r="AJ50" t="str">
        <f t="shared" si="9"/>
        <v/>
      </c>
    </row>
    <row r="51" spans="2:36" x14ac:dyDescent="0.35">
      <c r="B51" t="str" cm="1">
        <f t="array" ref="B51">IFERROR(AVERAGE(_xlfn._xlws.FILTER(Tabla1[[#Data],[Temperatura]],Tabla1[[ID]:[ID]]=$A51,0)),"")</f>
        <v/>
      </c>
      <c r="C51" t="str" cm="1">
        <f t="array" ref="C51">IF(IFERROR(MAX(_xlfn._xlws.FILTER(Tabla1[[#Data],[Temperatura]],Tabla1[[ID]:[ID]]=$A51,0)),"")=0,"",IFERROR(MAX(_xlfn._xlws.FILTER(Tabla1[[#Data],[Temperatura]],Tabla1[[ID]:[ID]]=$A51,0)),""))</f>
        <v/>
      </c>
      <c r="D51" t="str" cm="1">
        <f t="array" ref="D51">IF(IFERROR(MIN(_xlfn._xlws.FILTER(Tabla1[[#Data],[Temperatura]],Tabla1[[ID]:[ID]]=$A51,0)),"")=0,"",IFERROR(MIN(_xlfn._xlws.FILTER(Tabla1[[#Data],[Temperatura]],Tabla1[[ID]:[ID]]=$A51,0)),""))</f>
        <v/>
      </c>
      <c r="E51" t="str" cm="1">
        <f t="array" ref="E51">IFERROR(AVERAGE(_xlfn._xlws.FILTER(Tabla1[[#Data],[Humidade]],Tabla1[[ID]:[ID]]=$A51,0)),"")</f>
        <v/>
      </c>
      <c r="F51" t="str" cm="1">
        <f t="array" ref="F51">IF(IFERROR(MAX(_xlfn._xlws.FILTER(Tabla1[[#Data],[Humidade]],Tabla1[[ID]:[ID]]=$A51,0)),"")=0,"",IFERROR(MAX(_xlfn._xlws.FILTER(Tabla1[[#Data],[Humidade]],Tabla1[[ID]:[ID]]=$A51,0)),""))</f>
        <v/>
      </c>
      <c r="G51" t="str" cm="1">
        <f t="array" ref="G51">IF(IFERROR(MIN(_xlfn._xlws.FILTER(Tabla1[[#Data],[Humidade]],Tabla1[[ID]:[ID]]=$A51,0)),"")=0,"",IFERROR(MIN(_xlfn._xlws.FILTER(Tabla1[[#Data],[Humidade]],Tabla1[[ID]:[ID]]=$A51,0)),""))</f>
        <v/>
      </c>
      <c r="H51" t="str" cm="1">
        <f t="array" ref="H51">IFERROR(AVERAGE(_xlfn._xlws.FILTER(Tabla1[[#Data],[AcX]],Tabla1[[ID]:[ID]]=$A51,0)),"")</f>
        <v/>
      </c>
      <c r="I51" t="str" cm="1">
        <f t="array" ref="I51">IF(IFERROR(MAX(_xlfn._xlws.FILTER(Tabla1[[#Data],[AcX]],Tabla1[[ID]:[ID]]=$A51,0)),"")=0,"",IFERROR(MAX(_xlfn._xlws.FILTER(Tabla1[[#Data],[AcX]],Tabla1[[ID]:[ID]]=$A51,0)),""))</f>
        <v/>
      </c>
      <c r="J51" t="str" cm="1">
        <f t="array" ref="J51">IF(IFERROR(MIN(_xlfn._xlws.FILTER(Tabla1[[#Data],[AcX]],Tabla1[[ID]:[ID]]=$A51,0)),"")=0,"",IFERROR(MIN(_xlfn._xlws.FILTER(Tabla1[[#Data],[AcX]],Tabla1[[ID]:[ID]]=$A51,0)),""))</f>
        <v/>
      </c>
      <c r="K51" t="str" cm="1">
        <f t="array" ref="K51">IFERROR(AVERAGE(_xlfn._xlws.FILTER(Tabla1[[#Data],[AcY]],Tabla1[[ID]:[ID]]=$A51,0)),"")</f>
        <v/>
      </c>
      <c r="L51" t="str" cm="1">
        <f t="array" ref="L51">IF(IFERROR(MAX(_xlfn._xlws.FILTER(Tabla1[[#Data],[AcY]],Tabla1[[ID]:[ID]]=$A51,0)),"")=0,"",IFERROR(MAX(_xlfn._xlws.FILTER(Tabla1[[#Data],[AcY]],Tabla1[[ID]:[ID]]=$A51,0)),""))</f>
        <v/>
      </c>
      <c r="M51" t="str" cm="1">
        <f t="array" ref="M51">IF(IFERROR(MIN(_xlfn._xlws.FILTER(Tabla1[[#Data],[AcY]],Tabla1[[ID]:[ID]]=$A51,0)),"")=0,"",IFERROR(MIN(_xlfn._xlws.FILTER(Tabla1[[#Data],[AcY]],Tabla1[[ID]:[ID]]=$A51,0)),""))</f>
        <v/>
      </c>
      <c r="N51" t="str" cm="1">
        <f t="array" ref="N51">IFERROR(AVERAGE(_xlfn._xlws.FILTER(Tabla1[[#Data],[AcZ]],Tabla1[[ID]:[ID]]=$A51,0)),"")</f>
        <v/>
      </c>
      <c r="O51" t="str" cm="1">
        <f t="array" ref="O51">IF(IFERROR(MAX(_xlfn._xlws.FILTER(Tabla1[[#Data],[AcZ]],Tabla1[[ID]:[ID]]=$A51,0)),"")=0,"",IFERROR(MAX(_xlfn._xlws.FILTER(Tabla1[[#Data],[AcZ]],Tabla1[[ID]:[ID]]=$A51,0)),""))</f>
        <v/>
      </c>
      <c r="P51" t="str" cm="1">
        <f t="array" ref="P51">IF(IFERROR(MIN(_xlfn._xlws.FILTER(Tabla1[[#Data],[AcZ]],Tabla1[[ID]:[ID]]=$A51,0)),"")=0,"",IFERROR(MIN(_xlfn._xlws.FILTER(Tabla1[[#Data],[AcZ]],Tabla1[[ID]:[ID]]=$A51,0)),""))</f>
        <v/>
      </c>
      <c r="Q51" t="str" cm="1">
        <f t="array" ref="Q51">IFERROR(AVERAGE(_xlfn._xlws.FILTER(Tabla1[[#Data],[GyX]],Tabla1[[ID]:[ID]]=$A51,0)),"")</f>
        <v/>
      </c>
      <c r="R51" t="str" cm="1">
        <f t="array" ref="R51">IF(IFERROR(MAX(_xlfn._xlws.FILTER(Tabla1[[#Data],[GyX]],Tabla1[[ID]:[ID]]=$A51,0)),"")=0,"",IFERROR(MAX(_xlfn._xlws.FILTER(Tabla1[[#Data],[GyX]],Tabla1[[ID]:[ID]]=$A51,0)),""))</f>
        <v/>
      </c>
      <c r="S51" t="str" cm="1">
        <f t="array" ref="S51">IF(IFERROR(MIN(_xlfn._xlws.FILTER(Tabla1[[#Data],[GyX]],Tabla1[[ID]:[ID]]=$A51,0)),"")=0,"",IFERROR(MIN(_xlfn._xlws.FILTER(Tabla1[[#Data],[GyX]],Tabla1[[ID]:[ID]]=$A51,0)),""))</f>
        <v/>
      </c>
      <c r="T51" t="str" cm="1">
        <f t="array" ref="T51">IFERROR(AVERAGE(_xlfn._xlws.FILTER(Tabla1[[#Data],[GyY]],Tabla1[[ID]:[ID]]=$A51,0)),"")</f>
        <v/>
      </c>
      <c r="U51" t="str" cm="1">
        <f t="array" ref="U51">IF(IFERROR(MAX(_xlfn._xlws.FILTER(Tabla1[[#Data],[GyY]],Tabla1[[ID]:[ID]]=$A51,0)),"")=0,"",IFERROR(MAX(_xlfn._xlws.FILTER(Tabla1[[#Data],[GyY]],Tabla1[[ID]:[ID]]=$A51,0)),""))</f>
        <v/>
      </c>
      <c r="V51" t="str" cm="1">
        <f t="array" ref="V51">IF(IFERROR(MIN(_xlfn._xlws.FILTER(Tabla1[[#Data],[GyY]],Tabla1[[ID]:[ID]]=$A51,0)),"")=0,"",IFERROR(MIN(_xlfn._xlws.FILTER(Tabla1[[#Data],[GyY]],Tabla1[[ID]:[ID]]=$A51,0)),""))</f>
        <v/>
      </c>
      <c r="W51" t="str" cm="1">
        <f t="array" ref="W51">IFERROR(AVERAGE(_xlfn._xlws.FILTER(Tabla1[[#Data],[GyZ]],Tabla1[[ID]:[ID]]=$A51,0)),"")</f>
        <v/>
      </c>
      <c r="X51" t="str" cm="1">
        <f t="array" ref="X51">IF(IFERROR(MAX(_xlfn._xlws.FILTER(Tabla1[[#Data],[GyZ]],Tabla1[[ID]:[ID]]=$A51,0)),"")=0,"",IFERROR(MAX(_xlfn._xlws.FILTER(Tabla1[[#Data],[GyZ]],Tabla1[[ID]:[ID]]=$A51,0)),""))</f>
        <v/>
      </c>
      <c r="Y51" t="str" cm="1">
        <f t="array" ref="Y51">IF(IFERROR(MIN(_xlfn._xlws.FILTER(Tabla1[[#Data],[GyZ]],Tabla1[[ID]:[ID]]=$A51,0)),"")=0,"",IFERROR(MIN(_xlfn._xlws.FILTER(Tabla1[[#Data],[GyZ]],Tabla1[[ID]:[ID]]=$A51,0)),""))</f>
        <v/>
      </c>
      <c r="Z51" t="str" cm="1">
        <f t="array" ref="Z51">IF(ISNUMBER(A51),IF(ISNUMBER(MATCH(1,_xlfn._xlws.FILTER(Tabla1[[#Data],[Open]],Tabla1[[ID]:[ID]]=$A51,""))),1,0),"")</f>
        <v/>
      </c>
      <c r="AA51" t="str">
        <f t="shared" si="0"/>
        <v/>
      </c>
      <c r="AB51" t="str">
        <f t="shared" si="1"/>
        <v/>
      </c>
      <c r="AC51" t="str">
        <f t="shared" si="2"/>
        <v/>
      </c>
      <c r="AD51" t="str">
        <f t="shared" si="3"/>
        <v/>
      </c>
      <c r="AE51" t="str">
        <f t="shared" si="4"/>
        <v/>
      </c>
      <c r="AF51" t="str">
        <f t="shared" si="5"/>
        <v/>
      </c>
      <c r="AG51" t="str">
        <f t="shared" si="6"/>
        <v/>
      </c>
      <c r="AH51" t="str">
        <f t="shared" si="7"/>
        <v/>
      </c>
      <c r="AI51" t="str">
        <f t="shared" si="8"/>
        <v/>
      </c>
      <c r="AJ51" t="str">
        <f t="shared" si="9"/>
        <v/>
      </c>
    </row>
    <row r="52" spans="2:36" x14ac:dyDescent="0.35">
      <c r="B52" t="str" cm="1">
        <f t="array" ref="B52">IFERROR(AVERAGE(_xlfn._xlws.FILTER(Tabla1[[#Data],[Temperatura]],Tabla1[[ID]:[ID]]=$A52,0)),"")</f>
        <v/>
      </c>
      <c r="C52" t="str" cm="1">
        <f t="array" ref="C52">IF(IFERROR(MAX(_xlfn._xlws.FILTER(Tabla1[[#Data],[Temperatura]],Tabla1[[ID]:[ID]]=$A52,0)),"")=0,"",IFERROR(MAX(_xlfn._xlws.FILTER(Tabla1[[#Data],[Temperatura]],Tabla1[[ID]:[ID]]=$A52,0)),""))</f>
        <v/>
      </c>
      <c r="D52" t="str" cm="1">
        <f t="array" ref="D52">IF(IFERROR(MIN(_xlfn._xlws.FILTER(Tabla1[[#Data],[Temperatura]],Tabla1[[ID]:[ID]]=$A52,0)),"")=0,"",IFERROR(MIN(_xlfn._xlws.FILTER(Tabla1[[#Data],[Temperatura]],Tabla1[[ID]:[ID]]=$A52,0)),""))</f>
        <v/>
      </c>
      <c r="E52" t="str" cm="1">
        <f t="array" ref="E52">IFERROR(AVERAGE(_xlfn._xlws.FILTER(Tabla1[[#Data],[Humidade]],Tabla1[[ID]:[ID]]=$A52,0)),"")</f>
        <v/>
      </c>
      <c r="F52" t="str" cm="1">
        <f t="array" ref="F52">IF(IFERROR(MAX(_xlfn._xlws.FILTER(Tabla1[[#Data],[Humidade]],Tabla1[[ID]:[ID]]=$A52,0)),"")=0,"",IFERROR(MAX(_xlfn._xlws.FILTER(Tabla1[[#Data],[Humidade]],Tabla1[[ID]:[ID]]=$A52,0)),""))</f>
        <v/>
      </c>
      <c r="G52" t="str" cm="1">
        <f t="array" ref="G52">IF(IFERROR(MIN(_xlfn._xlws.FILTER(Tabla1[[#Data],[Humidade]],Tabla1[[ID]:[ID]]=$A52,0)),"")=0,"",IFERROR(MIN(_xlfn._xlws.FILTER(Tabla1[[#Data],[Humidade]],Tabla1[[ID]:[ID]]=$A52,0)),""))</f>
        <v/>
      </c>
      <c r="H52" t="str" cm="1">
        <f t="array" ref="H52">IFERROR(AVERAGE(_xlfn._xlws.FILTER(Tabla1[[#Data],[AcX]],Tabla1[[ID]:[ID]]=$A52,0)),"")</f>
        <v/>
      </c>
      <c r="I52" t="str" cm="1">
        <f t="array" ref="I52">IF(IFERROR(MAX(_xlfn._xlws.FILTER(Tabla1[[#Data],[AcX]],Tabla1[[ID]:[ID]]=$A52,0)),"")=0,"",IFERROR(MAX(_xlfn._xlws.FILTER(Tabla1[[#Data],[AcX]],Tabla1[[ID]:[ID]]=$A52,0)),""))</f>
        <v/>
      </c>
      <c r="J52" t="str" cm="1">
        <f t="array" ref="J52">IF(IFERROR(MIN(_xlfn._xlws.FILTER(Tabla1[[#Data],[AcX]],Tabla1[[ID]:[ID]]=$A52,0)),"")=0,"",IFERROR(MIN(_xlfn._xlws.FILTER(Tabla1[[#Data],[AcX]],Tabla1[[ID]:[ID]]=$A52,0)),""))</f>
        <v/>
      </c>
      <c r="K52" t="str" cm="1">
        <f t="array" ref="K52">IFERROR(AVERAGE(_xlfn._xlws.FILTER(Tabla1[[#Data],[AcY]],Tabla1[[ID]:[ID]]=$A52,0)),"")</f>
        <v/>
      </c>
      <c r="L52" t="str" cm="1">
        <f t="array" ref="L52">IF(IFERROR(MAX(_xlfn._xlws.FILTER(Tabla1[[#Data],[AcY]],Tabla1[[ID]:[ID]]=$A52,0)),"")=0,"",IFERROR(MAX(_xlfn._xlws.FILTER(Tabla1[[#Data],[AcY]],Tabla1[[ID]:[ID]]=$A52,0)),""))</f>
        <v/>
      </c>
      <c r="M52" t="str" cm="1">
        <f t="array" ref="M52">IF(IFERROR(MIN(_xlfn._xlws.FILTER(Tabla1[[#Data],[AcY]],Tabla1[[ID]:[ID]]=$A52,0)),"")=0,"",IFERROR(MIN(_xlfn._xlws.FILTER(Tabla1[[#Data],[AcY]],Tabla1[[ID]:[ID]]=$A52,0)),""))</f>
        <v/>
      </c>
      <c r="N52" t="str" cm="1">
        <f t="array" ref="N52">IFERROR(AVERAGE(_xlfn._xlws.FILTER(Tabla1[[#Data],[AcZ]],Tabla1[[ID]:[ID]]=$A52,0)),"")</f>
        <v/>
      </c>
      <c r="O52" t="str" cm="1">
        <f t="array" ref="O52">IF(IFERROR(MAX(_xlfn._xlws.FILTER(Tabla1[[#Data],[AcZ]],Tabla1[[ID]:[ID]]=$A52,0)),"")=0,"",IFERROR(MAX(_xlfn._xlws.FILTER(Tabla1[[#Data],[AcZ]],Tabla1[[ID]:[ID]]=$A52,0)),""))</f>
        <v/>
      </c>
      <c r="P52" t="str" cm="1">
        <f t="array" ref="P52">IF(IFERROR(MIN(_xlfn._xlws.FILTER(Tabla1[[#Data],[AcZ]],Tabla1[[ID]:[ID]]=$A52,0)),"")=0,"",IFERROR(MIN(_xlfn._xlws.FILTER(Tabla1[[#Data],[AcZ]],Tabla1[[ID]:[ID]]=$A52,0)),""))</f>
        <v/>
      </c>
      <c r="Q52" t="str" cm="1">
        <f t="array" ref="Q52">IFERROR(AVERAGE(_xlfn._xlws.FILTER(Tabla1[[#Data],[GyX]],Tabla1[[ID]:[ID]]=$A52,0)),"")</f>
        <v/>
      </c>
      <c r="R52" t="str" cm="1">
        <f t="array" ref="R52">IF(IFERROR(MAX(_xlfn._xlws.FILTER(Tabla1[[#Data],[GyX]],Tabla1[[ID]:[ID]]=$A52,0)),"")=0,"",IFERROR(MAX(_xlfn._xlws.FILTER(Tabla1[[#Data],[GyX]],Tabla1[[ID]:[ID]]=$A52,0)),""))</f>
        <v/>
      </c>
      <c r="S52" t="str" cm="1">
        <f t="array" ref="S52">IF(IFERROR(MIN(_xlfn._xlws.FILTER(Tabla1[[#Data],[GyX]],Tabla1[[ID]:[ID]]=$A52,0)),"")=0,"",IFERROR(MIN(_xlfn._xlws.FILTER(Tabla1[[#Data],[GyX]],Tabla1[[ID]:[ID]]=$A52,0)),""))</f>
        <v/>
      </c>
      <c r="T52" t="str" cm="1">
        <f t="array" ref="T52">IFERROR(AVERAGE(_xlfn._xlws.FILTER(Tabla1[[#Data],[GyY]],Tabla1[[ID]:[ID]]=$A52,0)),"")</f>
        <v/>
      </c>
      <c r="U52" t="str" cm="1">
        <f t="array" ref="U52">IF(IFERROR(MAX(_xlfn._xlws.FILTER(Tabla1[[#Data],[GyY]],Tabla1[[ID]:[ID]]=$A52,0)),"")=0,"",IFERROR(MAX(_xlfn._xlws.FILTER(Tabla1[[#Data],[GyY]],Tabla1[[ID]:[ID]]=$A52,0)),""))</f>
        <v/>
      </c>
      <c r="V52" t="str" cm="1">
        <f t="array" ref="V52">IF(IFERROR(MIN(_xlfn._xlws.FILTER(Tabla1[[#Data],[GyY]],Tabla1[[ID]:[ID]]=$A52,0)),"")=0,"",IFERROR(MIN(_xlfn._xlws.FILTER(Tabla1[[#Data],[GyY]],Tabla1[[ID]:[ID]]=$A52,0)),""))</f>
        <v/>
      </c>
      <c r="W52" t="str" cm="1">
        <f t="array" ref="W52">IFERROR(AVERAGE(_xlfn._xlws.FILTER(Tabla1[[#Data],[GyZ]],Tabla1[[ID]:[ID]]=$A52,0)),"")</f>
        <v/>
      </c>
      <c r="X52" t="str" cm="1">
        <f t="array" ref="X52">IF(IFERROR(MAX(_xlfn._xlws.FILTER(Tabla1[[#Data],[GyZ]],Tabla1[[ID]:[ID]]=$A52,0)),"")=0,"",IFERROR(MAX(_xlfn._xlws.FILTER(Tabla1[[#Data],[GyZ]],Tabla1[[ID]:[ID]]=$A52,0)),""))</f>
        <v/>
      </c>
      <c r="Y52" t="str" cm="1">
        <f t="array" ref="Y52">IF(IFERROR(MIN(_xlfn._xlws.FILTER(Tabla1[[#Data],[GyZ]],Tabla1[[ID]:[ID]]=$A52,0)),"")=0,"",IFERROR(MIN(_xlfn._xlws.FILTER(Tabla1[[#Data],[GyZ]],Tabla1[[ID]:[ID]]=$A52,0)),""))</f>
        <v/>
      </c>
      <c r="Z52" t="str" cm="1">
        <f t="array" ref="Z52">IF(ISNUMBER(A52),IF(ISNUMBER(MATCH(1,_xlfn._xlws.FILTER(Tabla1[[#Data],[Open]],Tabla1[[ID]:[ID]]=$A52,""))),1,0),"")</f>
        <v/>
      </c>
      <c r="AA52" t="str">
        <f t="shared" si="0"/>
        <v/>
      </c>
      <c r="AB52" t="str">
        <f t="shared" si="1"/>
        <v/>
      </c>
      <c r="AC52" t="str">
        <f t="shared" si="2"/>
        <v/>
      </c>
      <c r="AD52" t="str">
        <f t="shared" si="3"/>
        <v/>
      </c>
      <c r="AE52" t="str">
        <f t="shared" si="4"/>
        <v/>
      </c>
      <c r="AF52" t="str">
        <f t="shared" si="5"/>
        <v/>
      </c>
      <c r="AG52" t="str">
        <f t="shared" si="6"/>
        <v/>
      </c>
      <c r="AH52" t="str">
        <f t="shared" si="7"/>
        <v/>
      </c>
      <c r="AI52" t="str">
        <f t="shared" si="8"/>
        <v/>
      </c>
      <c r="AJ52" t="str">
        <f t="shared" si="9"/>
        <v/>
      </c>
    </row>
    <row r="53" spans="2:36" x14ac:dyDescent="0.35">
      <c r="B53" t="str" cm="1">
        <f t="array" ref="B53">IFERROR(AVERAGE(_xlfn._xlws.FILTER(Tabla1[[#Data],[Temperatura]],Tabla1[[ID]:[ID]]=$A53,0)),"")</f>
        <v/>
      </c>
      <c r="C53" t="str" cm="1">
        <f t="array" ref="C53">IF(IFERROR(MAX(_xlfn._xlws.FILTER(Tabla1[[#Data],[Temperatura]],Tabla1[[ID]:[ID]]=$A53,0)),"")=0,"",IFERROR(MAX(_xlfn._xlws.FILTER(Tabla1[[#Data],[Temperatura]],Tabla1[[ID]:[ID]]=$A53,0)),""))</f>
        <v/>
      </c>
      <c r="D53" t="str" cm="1">
        <f t="array" ref="D53">IF(IFERROR(MIN(_xlfn._xlws.FILTER(Tabla1[[#Data],[Temperatura]],Tabla1[[ID]:[ID]]=$A53,0)),"")=0,"",IFERROR(MIN(_xlfn._xlws.FILTER(Tabla1[[#Data],[Temperatura]],Tabla1[[ID]:[ID]]=$A53,0)),""))</f>
        <v/>
      </c>
      <c r="E53" t="str" cm="1">
        <f t="array" ref="E53">IFERROR(AVERAGE(_xlfn._xlws.FILTER(Tabla1[[#Data],[Humidade]],Tabla1[[ID]:[ID]]=$A53,0)),"")</f>
        <v/>
      </c>
      <c r="F53" t="str" cm="1">
        <f t="array" ref="F53">IF(IFERROR(MAX(_xlfn._xlws.FILTER(Tabla1[[#Data],[Humidade]],Tabla1[[ID]:[ID]]=$A53,0)),"")=0,"",IFERROR(MAX(_xlfn._xlws.FILTER(Tabla1[[#Data],[Humidade]],Tabla1[[ID]:[ID]]=$A53,0)),""))</f>
        <v/>
      </c>
      <c r="G53" t="str" cm="1">
        <f t="array" ref="G53">IF(IFERROR(MIN(_xlfn._xlws.FILTER(Tabla1[[#Data],[Humidade]],Tabla1[[ID]:[ID]]=$A53,0)),"")=0,"",IFERROR(MIN(_xlfn._xlws.FILTER(Tabla1[[#Data],[Humidade]],Tabla1[[ID]:[ID]]=$A53,0)),""))</f>
        <v/>
      </c>
      <c r="H53" t="str" cm="1">
        <f t="array" ref="H53">IFERROR(AVERAGE(_xlfn._xlws.FILTER(Tabla1[[#Data],[AcX]],Tabla1[[ID]:[ID]]=$A53,0)),"")</f>
        <v/>
      </c>
      <c r="I53" t="str" cm="1">
        <f t="array" ref="I53">IF(IFERROR(MAX(_xlfn._xlws.FILTER(Tabla1[[#Data],[AcX]],Tabla1[[ID]:[ID]]=$A53,0)),"")=0,"",IFERROR(MAX(_xlfn._xlws.FILTER(Tabla1[[#Data],[AcX]],Tabla1[[ID]:[ID]]=$A53,0)),""))</f>
        <v/>
      </c>
      <c r="J53" t="str" cm="1">
        <f t="array" ref="J53">IF(IFERROR(MIN(_xlfn._xlws.FILTER(Tabla1[[#Data],[AcX]],Tabla1[[ID]:[ID]]=$A53,0)),"")=0,"",IFERROR(MIN(_xlfn._xlws.FILTER(Tabla1[[#Data],[AcX]],Tabla1[[ID]:[ID]]=$A53,0)),""))</f>
        <v/>
      </c>
      <c r="K53" t="str" cm="1">
        <f t="array" ref="K53">IFERROR(AVERAGE(_xlfn._xlws.FILTER(Tabla1[[#Data],[AcY]],Tabla1[[ID]:[ID]]=$A53,0)),"")</f>
        <v/>
      </c>
      <c r="L53" t="str" cm="1">
        <f t="array" ref="L53">IF(IFERROR(MAX(_xlfn._xlws.FILTER(Tabla1[[#Data],[AcY]],Tabla1[[ID]:[ID]]=$A53,0)),"")=0,"",IFERROR(MAX(_xlfn._xlws.FILTER(Tabla1[[#Data],[AcY]],Tabla1[[ID]:[ID]]=$A53,0)),""))</f>
        <v/>
      </c>
      <c r="M53" t="str" cm="1">
        <f t="array" ref="M53">IF(IFERROR(MIN(_xlfn._xlws.FILTER(Tabla1[[#Data],[AcY]],Tabla1[[ID]:[ID]]=$A53,0)),"")=0,"",IFERROR(MIN(_xlfn._xlws.FILTER(Tabla1[[#Data],[AcY]],Tabla1[[ID]:[ID]]=$A53,0)),""))</f>
        <v/>
      </c>
      <c r="N53" t="str" cm="1">
        <f t="array" ref="N53">IFERROR(AVERAGE(_xlfn._xlws.FILTER(Tabla1[[#Data],[AcZ]],Tabla1[[ID]:[ID]]=$A53,0)),"")</f>
        <v/>
      </c>
      <c r="O53" t="str" cm="1">
        <f t="array" ref="O53">IF(IFERROR(MAX(_xlfn._xlws.FILTER(Tabla1[[#Data],[AcZ]],Tabla1[[ID]:[ID]]=$A53,0)),"")=0,"",IFERROR(MAX(_xlfn._xlws.FILTER(Tabla1[[#Data],[AcZ]],Tabla1[[ID]:[ID]]=$A53,0)),""))</f>
        <v/>
      </c>
      <c r="P53" t="str" cm="1">
        <f t="array" ref="P53">IF(IFERROR(MIN(_xlfn._xlws.FILTER(Tabla1[[#Data],[AcZ]],Tabla1[[ID]:[ID]]=$A53,0)),"")=0,"",IFERROR(MIN(_xlfn._xlws.FILTER(Tabla1[[#Data],[AcZ]],Tabla1[[ID]:[ID]]=$A53,0)),""))</f>
        <v/>
      </c>
      <c r="Q53" t="str" cm="1">
        <f t="array" ref="Q53">IFERROR(AVERAGE(_xlfn._xlws.FILTER(Tabla1[[#Data],[GyX]],Tabla1[[ID]:[ID]]=$A53,0)),"")</f>
        <v/>
      </c>
      <c r="R53" t="str" cm="1">
        <f t="array" ref="R53">IF(IFERROR(MAX(_xlfn._xlws.FILTER(Tabla1[[#Data],[GyX]],Tabla1[[ID]:[ID]]=$A53,0)),"")=0,"",IFERROR(MAX(_xlfn._xlws.FILTER(Tabla1[[#Data],[GyX]],Tabla1[[ID]:[ID]]=$A53,0)),""))</f>
        <v/>
      </c>
      <c r="S53" t="str" cm="1">
        <f t="array" ref="S53">IF(IFERROR(MIN(_xlfn._xlws.FILTER(Tabla1[[#Data],[GyX]],Tabla1[[ID]:[ID]]=$A53,0)),"")=0,"",IFERROR(MIN(_xlfn._xlws.FILTER(Tabla1[[#Data],[GyX]],Tabla1[[ID]:[ID]]=$A53,0)),""))</f>
        <v/>
      </c>
      <c r="T53" t="str" cm="1">
        <f t="array" ref="T53">IFERROR(AVERAGE(_xlfn._xlws.FILTER(Tabla1[[#Data],[GyY]],Tabla1[[ID]:[ID]]=$A53,0)),"")</f>
        <v/>
      </c>
      <c r="U53" t="str" cm="1">
        <f t="array" ref="U53">IF(IFERROR(MAX(_xlfn._xlws.FILTER(Tabla1[[#Data],[GyY]],Tabla1[[ID]:[ID]]=$A53,0)),"")=0,"",IFERROR(MAX(_xlfn._xlws.FILTER(Tabla1[[#Data],[GyY]],Tabla1[[ID]:[ID]]=$A53,0)),""))</f>
        <v/>
      </c>
      <c r="V53" t="str" cm="1">
        <f t="array" ref="V53">IF(IFERROR(MIN(_xlfn._xlws.FILTER(Tabla1[[#Data],[GyY]],Tabla1[[ID]:[ID]]=$A53,0)),"")=0,"",IFERROR(MIN(_xlfn._xlws.FILTER(Tabla1[[#Data],[GyY]],Tabla1[[ID]:[ID]]=$A53,0)),""))</f>
        <v/>
      </c>
      <c r="W53" t="str" cm="1">
        <f t="array" ref="W53">IFERROR(AVERAGE(_xlfn._xlws.FILTER(Tabla1[[#Data],[GyZ]],Tabla1[[ID]:[ID]]=$A53,0)),"")</f>
        <v/>
      </c>
      <c r="X53" t="str" cm="1">
        <f t="array" ref="X53">IF(IFERROR(MAX(_xlfn._xlws.FILTER(Tabla1[[#Data],[GyZ]],Tabla1[[ID]:[ID]]=$A53,0)),"")=0,"",IFERROR(MAX(_xlfn._xlws.FILTER(Tabla1[[#Data],[GyZ]],Tabla1[[ID]:[ID]]=$A53,0)),""))</f>
        <v/>
      </c>
      <c r="Y53" t="str" cm="1">
        <f t="array" ref="Y53">IF(IFERROR(MIN(_xlfn._xlws.FILTER(Tabla1[[#Data],[GyZ]],Tabla1[[ID]:[ID]]=$A53,0)),"")=0,"",IFERROR(MIN(_xlfn._xlws.FILTER(Tabla1[[#Data],[GyZ]],Tabla1[[ID]:[ID]]=$A53,0)),""))</f>
        <v/>
      </c>
      <c r="Z53" t="str" cm="1">
        <f t="array" ref="Z53">IF(ISNUMBER(A53),IF(ISNUMBER(MATCH(1,_xlfn._xlws.FILTER(Tabla1[[#Data],[Open]],Tabla1[[ID]:[ID]]=$A53,""))),1,0),"")</f>
        <v/>
      </c>
      <c r="AA53" t="str">
        <f t="shared" si="0"/>
        <v/>
      </c>
      <c r="AB53" t="str">
        <f t="shared" si="1"/>
        <v/>
      </c>
      <c r="AC53" t="str">
        <f t="shared" si="2"/>
        <v/>
      </c>
      <c r="AD53" t="str">
        <f t="shared" si="3"/>
        <v/>
      </c>
      <c r="AE53" t="str">
        <f t="shared" si="4"/>
        <v/>
      </c>
      <c r="AF53" t="str">
        <f t="shared" si="5"/>
        <v/>
      </c>
      <c r="AG53" t="str">
        <f t="shared" si="6"/>
        <v/>
      </c>
      <c r="AH53" t="str">
        <f t="shared" si="7"/>
        <v/>
      </c>
      <c r="AI53" t="str">
        <f t="shared" si="8"/>
        <v/>
      </c>
      <c r="AJ53" t="str">
        <f t="shared" si="9"/>
        <v/>
      </c>
    </row>
    <row r="54" spans="2:36" x14ac:dyDescent="0.35">
      <c r="B54" t="str" cm="1">
        <f t="array" ref="B54">IFERROR(AVERAGE(_xlfn._xlws.FILTER(Tabla1[[#Data],[Temperatura]],Tabla1[[ID]:[ID]]=$A54,0)),"")</f>
        <v/>
      </c>
      <c r="C54" t="str" cm="1">
        <f t="array" ref="C54">IF(IFERROR(MAX(_xlfn._xlws.FILTER(Tabla1[[#Data],[Temperatura]],Tabla1[[ID]:[ID]]=$A54,0)),"")=0,"",IFERROR(MAX(_xlfn._xlws.FILTER(Tabla1[[#Data],[Temperatura]],Tabla1[[ID]:[ID]]=$A54,0)),""))</f>
        <v/>
      </c>
      <c r="D54" t="str" cm="1">
        <f t="array" ref="D54">IF(IFERROR(MIN(_xlfn._xlws.FILTER(Tabla1[[#Data],[Temperatura]],Tabla1[[ID]:[ID]]=$A54,0)),"")=0,"",IFERROR(MIN(_xlfn._xlws.FILTER(Tabla1[[#Data],[Temperatura]],Tabla1[[ID]:[ID]]=$A54,0)),""))</f>
        <v/>
      </c>
      <c r="E54" t="str" cm="1">
        <f t="array" ref="E54">IFERROR(AVERAGE(_xlfn._xlws.FILTER(Tabla1[[#Data],[Humidade]],Tabla1[[ID]:[ID]]=$A54,0)),"")</f>
        <v/>
      </c>
      <c r="F54" t="str" cm="1">
        <f t="array" ref="F54">IF(IFERROR(MAX(_xlfn._xlws.FILTER(Tabla1[[#Data],[Humidade]],Tabla1[[ID]:[ID]]=$A54,0)),"")=0,"",IFERROR(MAX(_xlfn._xlws.FILTER(Tabla1[[#Data],[Humidade]],Tabla1[[ID]:[ID]]=$A54,0)),""))</f>
        <v/>
      </c>
      <c r="G54" t="str" cm="1">
        <f t="array" ref="G54">IF(IFERROR(MIN(_xlfn._xlws.FILTER(Tabla1[[#Data],[Humidade]],Tabla1[[ID]:[ID]]=$A54,0)),"")=0,"",IFERROR(MIN(_xlfn._xlws.FILTER(Tabla1[[#Data],[Humidade]],Tabla1[[ID]:[ID]]=$A54,0)),""))</f>
        <v/>
      </c>
      <c r="H54" t="str" cm="1">
        <f t="array" ref="H54">IFERROR(AVERAGE(_xlfn._xlws.FILTER(Tabla1[[#Data],[AcX]],Tabla1[[ID]:[ID]]=$A54,0)),"")</f>
        <v/>
      </c>
      <c r="I54" t="str" cm="1">
        <f t="array" ref="I54">IF(IFERROR(MAX(_xlfn._xlws.FILTER(Tabla1[[#Data],[AcX]],Tabla1[[ID]:[ID]]=$A54,0)),"")=0,"",IFERROR(MAX(_xlfn._xlws.FILTER(Tabla1[[#Data],[AcX]],Tabla1[[ID]:[ID]]=$A54,0)),""))</f>
        <v/>
      </c>
      <c r="J54" t="str" cm="1">
        <f t="array" ref="J54">IF(IFERROR(MIN(_xlfn._xlws.FILTER(Tabla1[[#Data],[AcX]],Tabla1[[ID]:[ID]]=$A54,0)),"")=0,"",IFERROR(MIN(_xlfn._xlws.FILTER(Tabla1[[#Data],[AcX]],Tabla1[[ID]:[ID]]=$A54,0)),""))</f>
        <v/>
      </c>
      <c r="K54" t="str" cm="1">
        <f t="array" ref="K54">IFERROR(AVERAGE(_xlfn._xlws.FILTER(Tabla1[[#Data],[AcY]],Tabla1[[ID]:[ID]]=$A54,0)),"")</f>
        <v/>
      </c>
      <c r="L54" t="str" cm="1">
        <f t="array" ref="L54">IF(IFERROR(MAX(_xlfn._xlws.FILTER(Tabla1[[#Data],[AcY]],Tabla1[[ID]:[ID]]=$A54,0)),"")=0,"",IFERROR(MAX(_xlfn._xlws.FILTER(Tabla1[[#Data],[AcY]],Tabla1[[ID]:[ID]]=$A54,0)),""))</f>
        <v/>
      </c>
      <c r="M54" t="str" cm="1">
        <f t="array" ref="M54">IF(IFERROR(MIN(_xlfn._xlws.FILTER(Tabla1[[#Data],[AcY]],Tabla1[[ID]:[ID]]=$A54,0)),"")=0,"",IFERROR(MIN(_xlfn._xlws.FILTER(Tabla1[[#Data],[AcY]],Tabla1[[ID]:[ID]]=$A54,0)),""))</f>
        <v/>
      </c>
      <c r="N54" t="str" cm="1">
        <f t="array" ref="N54">IFERROR(AVERAGE(_xlfn._xlws.FILTER(Tabla1[[#Data],[AcZ]],Tabla1[[ID]:[ID]]=$A54,0)),"")</f>
        <v/>
      </c>
      <c r="O54" t="str" cm="1">
        <f t="array" ref="O54">IF(IFERROR(MAX(_xlfn._xlws.FILTER(Tabla1[[#Data],[AcZ]],Tabla1[[ID]:[ID]]=$A54,0)),"")=0,"",IFERROR(MAX(_xlfn._xlws.FILTER(Tabla1[[#Data],[AcZ]],Tabla1[[ID]:[ID]]=$A54,0)),""))</f>
        <v/>
      </c>
      <c r="P54" t="str" cm="1">
        <f t="array" ref="P54">IF(IFERROR(MIN(_xlfn._xlws.FILTER(Tabla1[[#Data],[AcZ]],Tabla1[[ID]:[ID]]=$A54,0)),"")=0,"",IFERROR(MIN(_xlfn._xlws.FILTER(Tabla1[[#Data],[AcZ]],Tabla1[[ID]:[ID]]=$A54,0)),""))</f>
        <v/>
      </c>
      <c r="Q54" t="str" cm="1">
        <f t="array" ref="Q54">IFERROR(AVERAGE(_xlfn._xlws.FILTER(Tabla1[[#Data],[GyX]],Tabla1[[ID]:[ID]]=$A54,0)),"")</f>
        <v/>
      </c>
      <c r="R54" t="str" cm="1">
        <f t="array" ref="R54">IF(IFERROR(MAX(_xlfn._xlws.FILTER(Tabla1[[#Data],[GyX]],Tabla1[[ID]:[ID]]=$A54,0)),"")=0,"",IFERROR(MAX(_xlfn._xlws.FILTER(Tabla1[[#Data],[GyX]],Tabla1[[ID]:[ID]]=$A54,0)),""))</f>
        <v/>
      </c>
      <c r="S54" t="str" cm="1">
        <f t="array" ref="S54">IF(IFERROR(MIN(_xlfn._xlws.FILTER(Tabla1[[#Data],[GyX]],Tabla1[[ID]:[ID]]=$A54,0)),"")=0,"",IFERROR(MIN(_xlfn._xlws.FILTER(Tabla1[[#Data],[GyX]],Tabla1[[ID]:[ID]]=$A54,0)),""))</f>
        <v/>
      </c>
      <c r="T54" t="str" cm="1">
        <f t="array" ref="T54">IFERROR(AVERAGE(_xlfn._xlws.FILTER(Tabla1[[#Data],[GyY]],Tabla1[[ID]:[ID]]=$A54,0)),"")</f>
        <v/>
      </c>
      <c r="U54" t="str" cm="1">
        <f t="array" ref="U54">IF(IFERROR(MAX(_xlfn._xlws.FILTER(Tabla1[[#Data],[GyY]],Tabla1[[ID]:[ID]]=$A54,0)),"")=0,"",IFERROR(MAX(_xlfn._xlws.FILTER(Tabla1[[#Data],[GyY]],Tabla1[[ID]:[ID]]=$A54,0)),""))</f>
        <v/>
      </c>
      <c r="V54" t="str" cm="1">
        <f t="array" ref="V54">IF(IFERROR(MIN(_xlfn._xlws.FILTER(Tabla1[[#Data],[GyY]],Tabla1[[ID]:[ID]]=$A54,0)),"")=0,"",IFERROR(MIN(_xlfn._xlws.FILTER(Tabla1[[#Data],[GyY]],Tabla1[[ID]:[ID]]=$A54,0)),""))</f>
        <v/>
      </c>
      <c r="W54" t="str" cm="1">
        <f t="array" ref="W54">IFERROR(AVERAGE(_xlfn._xlws.FILTER(Tabla1[[#Data],[GyZ]],Tabla1[[ID]:[ID]]=$A54,0)),"")</f>
        <v/>
      </c>
      <c r="X54" t="str" cm="1">
        <f t="array" ref="X54">IF(IFERROR(MAX(_xlfn._xlws.FILTER(Tabla1[[#Data],[GyZ]],Tabla1[[ID]:[ID]]=$A54,0)),"")=0,"",IFERROR(MAX(_xlfn._xlws.FILTER(Tabla1[[#Data],[GyZ]],Tabla1[[ID]:[ID]]=$A54,0)),""))</f>
        <v/>
      </c>
      <c r="Y54" t="str" cm="1">
        <f t="array" ref="Y54">IF(IFERROR(MIN(_xlfn._xlws.FILTER(Tabla1[[#Data],[GyZ]],Tabla1[[ID]:[ID]]=$A54,0)),"")=0,"",IFERROR(MIN(_xlfn._xlws.FILTER(Tabla1[[#Data],[GyZ]],Tabla1[[ID]:[ID]]=$A54,0)),""))</f>
        <v/>
      </c>
      <c r="Z54" t="str" cm="1">
        <f t="array" ref="Z54">IF(ISNUMBER(A54),IF(ISNUMBER(MATCH(1,_xlfn._xlws.FILTER(Tabla1[[#Data],[Open]],Tabla1[[ID]:[ID]]=$A54,""))),1,0),"")</f>
        <v/>
      </c>
      <c r="AA54" t="str">
        <f t="shared" si="0"/>
        <v/>
      </c>
      <c r="AB54" t="str">
        <f t="shared" si="1"/>
        <v/>
      </c>
      <c r="AC54" t="str">
        <f t="shared" si="2"/>
        <v/>
      </c>
      <c r="AD54" t="str">
        <f t="shared" si="3"/>
        <v/>
      </c>
      <c r="AE54" t="str">
        <f t="shared" si="4"/>
        <v/>
      </c>
      <c r="AF54" t="str">
        <f t="shared" si="5"/>
        <v/>
      </c>
      <c r="AG54" t="str">
        <f t="shared" si="6"/>
        <v/>
      </c>
      <c r="AH54" t="str">
        <f t="shared" si="7"/>
        <v/>
      </c>
      <c r="AI54" t="str">
        <f t="shared" si="8"/>
        <v/>
      </c>
      <c r="AJ54" t="str">
        <f t="shared" si="9"/>
        <v/>
      </c>
    </row>
    <row r="55" spans="2:36" x14ac:dyDescent="0.35">
      <c r="B55" t="str" cm="1">
        <f t="array" ref="B55">IFERROR(AVERAGE(_xlfn._xlws.FILTER(Tabla1[[#Data],[Temperatura]],Tabla1[[ID]:[ID]]=$A55,0)),"")</f>
        <v/>
      </c>
      <c r="C55" t="str" cm="1">
        <f t="array" ref="C55">IF(IFERROR(MAX(_xlfn._xlws.FILTER(Tabla1[[#Data],[Temperatura]],Tabla1[[ID]:[ID]]=$A55,0)),"")=0,"",IFERROR(MAX(_xlfn._xlws.FILTER(Tabla1[[#Data],[Temperatura]],Tabla1[[ID]:[ID]]=$A55,0)),""))</f>
        <v/>
      </c>
      <c r="D55" t="str" cm="1">
        <f t="array" ref="D55">IF(IFERROR(MIN(_xlfn._xlws.FILTER(Tabla1[[#Data],[Temperatura]],Tabla1[[ID]:[ID]]=$A55,0)),"")=0,"",IFERROR(MIN(_xlfn._xlws.FILTER(Tabla1[[#Data],[Temperatura]],Tabla1[[ID]:[ID]]=$A55,0)),""))</f>
        <v/>
      </c>
      <c r="E55" t="str" cm="1">
        <f t="array" ref="E55">IFERROR(AVERAGE(_xlfn._xlws.FILTER(Tabla1[[#Data],[Humidade]],Tabla1[[ID]:[ID]]=$A55,0)),"")</f>
        <v/>
      </c>
      <c r="F55" t="str" cm="1">
        <f t="array" ref="F55">IF(IFERROR(MAX(_xlfn._xlws.FILTER(Tabla1[[#Data],[Humidade]],Tabla1[[ID]:[ID]]=$A55,0)),"")=0,"",IFERROR(MAX(_xlfn._xlws.FILTER(Tabla1[[#Data],[Humidade]],Tabla1[[ID]:[ID]]=$A55,0)),""))</f>
        <v/>
      </c>
      <c r="G55" t="str" cm="1">
        <f t="array" ref="G55">IF(IFERROR(MIN(_xlfn._xlws.FILTER(Tabla1[[#Data],[Humidade]],Tabla1[[ID]:[ID]]=$A55,0)),"")=0,"",IFERROR(MIN(_xlfn._xlws.FILTER(Tabla1[[#Data],[Humidade]],Tabla1[[ID]:[ID]]=$A55,0)),""))</f>
        <v/>
      </c>
      <c r="H55" t="str" cm="1">
        <f t="array" ref="H55">IFERROR(AVERAGE(_xlfn._xlws.FILTER(Tabla1[[#Data],[AcX]],Tabla1[[ID]:[ID]]=$A55,0)),"")</f>
        <v/>
      </c>
      <c r="I55" t="str" cm="1">
        <f t="array" ref="I55">IF(IFERROR(MAX(_xlfn._xlws.FILTER(Tabla1[[#Data],[AcX]],Tabla1[[ID]:[ID]]=$A55,0)),"")=0,"",IFERROR(MAX(_xlfn._xlws.FILTER(Tabla1[[#Data],[AcX]],Tabla1[[ID]:[ID]]=$A55,0)),""))</f>
        <v/>
      </c>
      <c r="J55" t="str" cm="1">
        <f t="array" ref="J55">IF(IFERROR(MIN(_xlfn._xlws.FILTER(Tabla1[[#Data],[AcX]],Tabla1[[ID]:[ID]]=$A55,0)),"")=0,"",IFERROR(MIN(_xlfn._xlws.FILTER(Tabla1[[#Data],[AcX]],Tabla1[[ID]:[ID]]=$A55,0)),""))</f>
        <v/>
      </c>
      <c r="K55" t="str" cm="1">
        <f t="array" ref="K55">IFERROR(AVERAGE(_xlfn._xlws.FILTER(Tabla1[[#Data],[AcY]],Tabla1[[ID]:[ID]]=$A55,0)),"")</f>
        <v/>
      </c>
      <c r="L55" t="str" cm="1">
        <f t="array" ref="L55">IF(IFERROR(MAX(_xlfn._xlws.FILTER(Tabla1[[#Data],[AcY]],Tabla1[[ID]:[ID]]=$A55,0)),"")=0,"",IFERROR(MAX(_xlfn._xlws.FILTER(Tabla1[[#Data],[AcY]],Tabla1[[ID]:[ID]]=$A55,0)),""))</f>
        <v/>
      </c>
      <c r="M55" t="str" cm="1">
        <f t="array" ref="M55">IF(IFERROR(MIN(_xlfn._xlws.FILTER(Tabla1[[#Data],[AcY]],Tabla1[[ID]:[ID]]=$A55,0)),"")=0,"",IFERROR(MIN(_xlfn._xlws.FILTER(Tabla1[[#Data],[AcY]],Tabla1[[ID]:[ID]]=$A55,0)),""))</f>
        <v/>
      </c>
      <c r="N55" t="str" cm="1">
        <f t="array" ref="N55">IFERROR(AVERAGE(_xlfn._xlws.FILTER(Tabla1[[#Data],[AcZ]],Tabla1[[ID]:[ID]]=$A55,0)),"")</f>
        <v/>
      </c>
      <c r="O55" t="str" cm="1">
        <f t="array" ref="O55">IF(IFERROR(MAX(_xlfn._xlws.FILTER(Tabla1[[#Data],[AcZ]],Tabla1[[ID]:[ID]]=$A55,0)),"")=0,"",IFERROR(MAX(_xlfn._xlws.FILTER(Tabla1[[#Data],[AcZ]],Tabla1[[ID]:[ID]]=$A55,0)),""))</f>
        <v/>
      </c>
      <c r="P55" t="str" cm="1">
        <f t="array" ref="P55">IF(IFERROR(MIN(_xlfn._xlws.FILTER(Tabla1[[#Data],[AcZ]],Tabla1[[ID]:[ID]]=$A55,0)),"")=0,"",IFERROR(MIN(_xlfn._xlws.FILTER(Tabla1[[#Data],[AcZ]],Tabla1[[ID]:[ID]]=$A55,0)),""))</f>
        <v/>
      </c>
      <c r="Q55" t="str" cm="1">
        <f t="array" ref="Q55">IFERROR(AVERAGE(_xlfn._xlws.FILTER(Tabla1[[#Data],[GyX]],Tabla1[[ID]:[ID]]=$A55,0)),"")</f>
        <v/>
      </c>
      <c r="R55" t="str" cm="1">
        <f t="array" ref="R55">IF(IFERROR(MAX(_xlfn._xlws.FILTER(Tabla1[[#Data],[GyX]],Tabla1[[ID]:[ID]]=$A55,0)),"")=0,"",IFERROR(MAX(_xlfn._xlws.FILTER(Tabla1[[#Data],[GyX]],Tabla1[[ID]:[ID]]=$A55,0)),""))</f>
        <v/>
      </c>
      <c r="S55" t="str" cm="1">
        <f t="array" ref="S55">IF(IFERROR(MIN(_xlfn._xlws.FILTER(Tabla1[[#Data],[GyX]],Tabla1[[ID]:[ID]]=$A55,0)),"")=0,"",IFERROR(MIN(_xlfn._xlws.FILTER(Tabla1[[#Data],[GyX]],Tabla1[[ID]:[ID]]=$A55,0)),""))</f>
        <v/>
      </c>
      <c r="T55" t="str" cm="1">
        <f t="array" ref="T55">IFERROR(AVERAGE(_xlfn._xlws.FILTER(Tabla1[[#Data],[GyY]],Tabla1[[ID]:[ID]]=$A55,0)),"")</f>
        <v/>
      </c>
      <c r="U55" t="str" cm="1">
        <f t="array" ref="U55">IF(IFERROR(MAX(_xlfn._xlws.FILTER(Tabla1[[#Data],[GyY]],Tabla1[[ID]:[ID]]=$A55,0)),"")=0,"",IFERROR(MAX(_xlfn._xlws.FILTER(Tabla1[[#Data],[GyY]],Tabla1[[ID]:[ID]]=$A55,0)),""))</f>
        <v/>
      </c>
      <c r="V55" t="str" cm="1">
        <f t="array" ref="V55">IF(IFERROR(MIN(_xlfn._xlws.FILTER(Tabla1[[#Data],[GyY]],Tabla1[[ID]:[ID]]=$A55,0)),"")=0,"",IFERROR(MIN(_xlfn._xlws.FILTER(Tabla1[[#Data],[GyY]],Tabla1[[ID]:[ID]]=$A55,0)),""))</f>
        <v/>
      </c>
      <c r="W55" t="str" cm="1">
        <f t="array" ref="W55">IFERROR(AVERAGE(_xlfn._xlws.FILTER(Tabla1[[#Data],[GyZ]],Tabla1[[ID]:[ID]]=$A55,0)),"")</f>
        <v/>
      </c>
      <c r="X55" t="str" cm="1">
        <f t="array" ref="X55">IF(IFERROR(MAX(_xlfn._xlws.FILTER(Tabla1[[#Data],[GyZ]],Tabla1[[ID]:[ID]]=$A55,0)),"")=0,"",IFERROR(MAX(_xlfn._xlws.FILTER(Tabla1[[#Data],[GyZ]],Tabla1[[ID]:[ID]]=$A55,0)),""))</f>
        <v/>
      </c>
      <c r="Y55" t="str" cm="1">
        <f t="array" ref="Y55">IF(IFERROR(MIN(_xlfn._xlws.FILTER(Tabla1[[#Data],[GyZ]],Tabla1[[ID]:[ID]]=$A55,0)),"")=0,"",IFERROR(MIN(_xlfn._xlws.FILTER(Tabla1[[#Data],[GyZ]],Tabla1[[ID]:[ID]]=$A55,0)),""))</f>
        <v/>
      </c>
      <c r="Z55" t="str" cm="1">
        <f t="array" ref="Z55">IF(ISNUMBER(A55),IF(ISNUMBER(MATCH(1,_xlfn._xlws.FILTER(Tabla1[[#Data],[Open]],Tabla1[[ID]:[ID]]=$A55,""))),1,0),"")</f>
        <v/>
      </c>
      <c r="AA55" t="str">
        <f t="shared" si="0"/>
        <v/>
      </c>
      <c r="AB55" t="str">
        <f t="shared" si="1"/>
        <v/>
      </c>
      <c r="AC55" t="str">
        <f t="shared" si="2"/>
        <v/>
      </c>
      <c r="AD55" t="str">
        <f t="shared" si="3"/>
        <v/>
      </c>
      <c r="AE55" t="str">
        <f t="shared" si="4"/>
        <v/>
      </c>
      <c r="AF55" t="str">
        <f t="shared" si="5"/>
        <v/>
      </c>
      <c r="AG55" t="str">
        <f t="shared" si="6"/>
        <v/>
      </c>
      <c r="AH55" t="str">
        <f t="shared" si="7"/>
        <v/>
      </c>
      <c r="AI55" t="str">
        <f t="shared" si="8"/>
        <v/>
      </c>
      <c r="AJ55" t="str">
        <f t="shared" si="9"/>
        <v/>
      </c>
    </row>
    <row r="56" spans="2:36" x14ac:dyDescent="0.35">
      <c r="B56" t="str" cm="1">
        <f t="array" ref="B56">IFERROR(AVERAGE(_xlfn._xlws.FILTER(Tabla1[[#Data],[Temperatura]],Tabla1[[ID]:[ID]]=$A56,0)),"")</f>
        <v/>
      </c>
      <c r="C56" t="str" cm="1">
        <f t="array" ref="C56">IF(IFERROR(MAX(_xlfn._xlws.FILTER(Tabla1[[#Data],[Temperatura]],Tabla1[[ID]:[ID]]=$A56,0)),"")=0,"",IFERROR(MAX(_xlfn._xlws.FILTER(Tabla1[[#Data],[Temperatura]],Tabla1[[ID]:[ID]]=$A56,0)),""))</f>
        <v/>
      </c>
      <c r="D56" t="str" cm="1">
        <f t="array" ref="D56">IF(IFERROR(MIN(_xlfn._xlws.FILTER(Tabla1[[#Data],[Temperatura]],Tabla1[[ID]:[ID]]=$A56,0)),"")=0,"",IFERROR(MIN(_xlfn._xlws.FILTER(Tabla1[[#Data],[Temperatura]],Tabla1[[ID]:[ID]]=$A56,0)),""))</f>
        <v/>
      </c>
      <c r="E56" t="str" cm="1">
        <f t="array" ref="E56">IFERROR(AVERAGE(_xlfn._xlws.FILTER(Tabla1[[#Data],[Humidade]],Tabla1[[ID]:[ID]]=$A56,0)),"")</f>
        <v/>
      </c>
      <c r="F56" t="str" cm="1">
        <f t="array" ref="F56">IF(IFERROR(MAX(_xlfn._xlws.FILTER(Tabla1[[#Data],[Humidade]],Tabla1[[ID]:[ID]]=$A56,0)),"")=0,"",IFERROR(MAX(_xlfn._xlws.FILTER(Tabla1[[#Data],[Humidade]],Tabla1[[ID]:[ID]]=$A56,0)),""))</f>
        <v/>
      </c>
      <c r="G56" t="str" cm="1">
        <f t="array" ref="G56">IF(IFERROR(MIN(_xlfn._xlws.FILTER(Tabla1[[#Data],[Humidade]],Tabla1[[ID]:[ID]]=$A56,0)),"")=0,"",IFERROR(MIN(_xlfn._xlws.FILTER(Tabla1[[#Data],[Humidade]],Tabla1[[ID]:[ID]]=$A56,0)),""))</f>
        <v/>
      </c>
      <c r="H56" t="str" cm="1">
        <f t="array" ref="H56">IFERROR(AVERAGE(_xlfn._xlws.FILTER(Tabla1[[#Data],[AcX]],Tabla1[[ID]:[ID]]=$A56,0)),"")</f>
        <v/>
      </c>
      <c r="I56" t="str" cm="1">
        <f t="array" ref="I56">IF(IFERROR(MAX(_xlfn._xlws.FILTER(Tabla1[[#Data],[AcX]],Tabla1[[ID]:[ID]]=$A56,0)),"")=0,"",IFERROR(MAX(_xlfn._xlws.FILTER(Tabla1[[#Data],[AcX]],Tabla1[[ID]:[ID]]=$A56,0)),""))</f>
        <v/>
      </c>
      <c r="J56" t="str" cm="1">
        <f t="array" ref="J56">IF(IFERROR(MIN(_xlfn._xlws.FILTER(Tabla1[[#Data],[AcX]],Tabla1[[ID]:[ID]]=$A56,0)),"")=0,"",IFERROR(MIN(_xlfn._xlws.FILTER(Tabla1[[#Data],[AcX]],Tabla1[[ID]:[ID]]=$A56,0)),""))</f>
        <v/>
      </c>
      <c r="K56" t="str" cm="1">
        <f t="array" ref="K56">IFERROR(AVERAGE(_xlfn._xlws.FILTER(Tabla1[[#Data],[AcY]],Tabla1[[ID]:[ID]]=$A56,0)),"")</f>
        <v/>
      </c>
      <c r="L56" t="str" cm="1">
        <f t="array" ref="L56">IF(IFERROR(MAX(_xlfn._xlws.FILTER(Tabla1[[#Data],[AcY]],Tabla1[[ID]:[ID]]=$A56,0)),"")=0,"",IFERROR(MAX(_xlfn._xlws.FILTER(Tabla1[[#Data],[AcY]],Tabla1[[ID]:[ID]]=$A56,0)),""))</f>
        <v/>
      </c>
      <c r="M56" t="str" cm="1">
        <f t="array" ref="M56">IF(IFERROR(MIN(_xlfn._xlws.FILTER(Tabla1[[#Data],[AcY]],Tabla1[[ID]:[ID]]=$A56,0)),"")=0,"",IFERROR(MIN(_xlfn._xlws.FILTER(Tabla1[[#Data],[AcY]],Tabla1[[ID]:[ID]]=$A56,0)),""))</f>
        <v/>
      </c>
      <c r="N56" t="str" cm="1">
        <f t="array" ref="N56">IFERROR(AVERAGE(_xlfn._xlws.FILTER(Tabla1[[#Data],[AcZ]],Tabla1[[ID]:[ID]]=$A56,0)),"")</f>
        <v/>
      </c>
      <c r="O56" t="str" cm="1">
        <f t="array" ref="O56">IF(IFERROR(MAX(_xlfn._xlws.FILTER(Tabla1[[#Data],[AcZ]],Tabla1[[ID]:[ID]]=$A56,0)),"")=0,"",IFERROR(MAX(_xlfn._xlws.FILTER(Tabla1[[#Data],[AcZ]],Tabla1[[ID]:[ID]]=$A56,0)),""))</f>
        <v/>
      </c>
      <c r="P56" t="str" cm="1">
        <f t="array" ref="P56">IF(IFERROR(MIN(_xlfn._xlws.FILTER(Tabla1[[#Data],[AcZ]],Tabla1[[ID]:[ID]]=$A56,0)),"")=0,"",IFERROR(MIN(_xlfn._xlws.FILTER(Tabla1[[#Data],[AcZ]],Tabla1[[ID]:[ID]]=$A56,0)),""))</f>
        <v/>
      </c>
      <c r="Q56" t="str" cm="1">
        <f t="array" ref="Q56">IFERROR(AVERAGE(_xlfn._xlws.FILTER(Tabla1[[#Data],[GyX]],Tabla1[[ID]:[ID]]=$A56,0)),"")</f>
        <v/>
      </c>
      <c r="R56" t="str" cm="1">
        <f t="array" ref="R56">IF(IFERROR(MAX(_xlfn._xlws.FILTER(Tabla1[[#Data],[GyX]],Tabla1[[ID]:[ID]]=$A56,0)),"")=0,"",IFERROR(MAX(_xlfn._xlws.FILTER(Tabla1[[#Data],[GyX]],Tabla1[[ID]:[ID]]=$A56,0)),""))</f>
        <v/>
      </c>
      <c r="S56" t="str" cm="1">
        <f t="array" ref="S56">IF(IFERROR(MIN(_xlfn._xlws.FILTER(Tabla1[[#Data],[GyX]],Tabla1[[ID]:[ID]]=$A56,0)),"")=0,"",IFERROR(MIN(_xlfn._xlws.FILTER(Tabla1[[#Data],[GyX]],Tabla1[[ID]:[ID]]=$A56,0)),""))</f>
        <v/>
      </c>
      <c r="T56" t="str" cm="1">
        <f t="array" ref="T56">IFERROR(AVERAGE(_xlfn._xlws.FILTER(Tabla1[[#Data],[GyY]],Tabla1[[ID]:[ID]]=$A56,0)),"")</f>
        <v/>
      </c>
      <c r="U56" t="str" cm="1">
        <f t="array" ref="U56">IF(IFERROR(MAX(_xlfn._xlws.FILTER(Tabla1[[#Data],[GyY]],Tabla1[[ID]:[ID]]=$A56,0)),"")=0,"",IFERROR(MAX(_xlfn._xlws.FILTER(Tabla1[[#Data],[GyY]],Tabla1[[ID]:[ID]]=$A56,0)),""))</f>
        <v/>
      </c>
      <c r="V56" t="str" cm="1">
        <f t="array" ref="V56">IF(IFERROR(MIN(_xlfn._xlws.FILTER(Tabla1[[#Data],[GyY]],Tabla1[[ID]:[ID]]=$A56,0)),"")=0,"",IFERROR(MIN(_xlfn._xlws.FILTER(Tabla1[[#Data],[GyY]],Tabla1[[ID]:[ID]]=$A56,0)),""))</f>
        <v/>
      </c>
      <c r="W56" t="str" cm="1">
        <f t="array" ref="W56">IFERROR(AVERAGE(_xlfn._xlws.FILTER(Tabla1[[#Data],[GyZ]],Tabla1[[ID]:[ID]]=$A56,0)),"")</f>
        <v/>
      </c>
      <c r="X56" t="str" cm="1">
        <f t="array" ref="X56">IF(IFERROR(MAX(_xlfn._xlws.FILTER(Tabla1[[#Data],[GyZ]],Tabla1[[ID]:[ID]]=$A56,0)),"")=0,"",IFERROR(MAX(_xlfn._xlws.FILTER(Tabla1[[#Data],[GyZ]],Tabla1[[ID]:[ID]]=$A56,0)),""))</f>
        <v/>
      </c>
      <c r="Y56" t="str" cm="1">
        <f t="array" ref="Y56">IF(IFERROR(MIN(_xlfn._xlws.FILTER(Tabla1[[#Data],[GyZ]],Tabla1[[ID]:[ID]]=$A56,0)),"")=0,"",IFERROR(MIN(_xlfn._xlws.FILTER(Tabla1[[#Data],[GyZ]],Tabla1[[ID]:[ID]]=$A56,0)),""))</f>
        <v/>
      </c>
      <c r="Z56" t="str" cm="1">
        <f t="array" ref="Z56">IF(ISNUMBER(A56),IF(ISNUMBER(MATCH(1,_xlfn._xlws.FILTER(Tabla1[[#Data],[Open]],Tabla1[[ID]:[ID]]=$A56,""))),1,0),"")</f>
        <v/>
      </c>
      <c r="AA56" t="str">
        <f t="shared" si="0"/>
        <v/>
      </c>
      <c r="AB56" t="str">
        <f t="shared" si="1"/>
        <v/>
      </c>
      <c r="AC56" t="str">
        <f t="shared" si="2"/>
        <v/>
      </c>
      <c r="AD56" t="str">
        <f t="shared" si="3"/>
        <v/>
      </c>
      <c r="AE56" t="str">
        <f t="shared" si="4"/>
        <v/>
      </c>
      <c r="AF56" t="str">
        <f t="shared" si="5"/>
        <v/>
      </c>
      <c r="AG56" t="str">
        <f t="shared" si="6"/>
        <v/>
      </c>
      <c r="AH56" t="str">
        <f t="shared" si="7"/>
        <v/>
      </c>
      <c r="AI56" t="str">
        <f t="shared" si="8"/>
        <v/>
      </c>
      <c r="AJ56" t="str">
        <f t="shared" si="9"/>
        <v/>
      </c>
    </row>
    <row r="57" spans="2:36" x14ac:dyDescent="0.35">
      <c r="B57" t="str" cm="1">
        <f t="array" ref="B57">IFERROR(AVERAGE(_xlfn._xlws.FILTER(Tabla1[[#Data],[Temperatura]],Tabla1[[ID]:[ID]]=$A57,0)),"")</f>
        <v/>
      </c>
      <c r="C57" t="str" cm="1">
        <f t="array" ref="C57">IF(IFERROR(MAX(_xlfn._xlws.FILTER(Tabla1[[#Data],[Temperatura]],Tabla1[[ID]:[ID]]=$A57,0)),"")=0,"",IFERROR(MAX(_xlfn._xlws.FILTER(Tabla1[[#Data],[Temperatura]],Tabla1[[ID]:[ID]]=$A57,0)),""))</f>
        <v/>
      </c>
      <c r="D57" t="str" cm="1">
        <f t="array" ref="D57">IF(IFERROR(MIN(_xlfn._xlws.FILTER(Tabla1[[#Data],[Temperatura]],Tabla1[[ID]:[ID]]=$A57,0)),"")=0,"",IFERROR(MIN(_xlfn._xlws.FILTER(Tabla1[[#Data],[Temperatura]],Tabla1[[ID]:[ID]]=$A57,0)),""))</f>
        <v/>
      </c>
      <c r="E57" t="str" cm="1">
        <f t="array" ref="E57">IFERROR(AVERAGE(_xlfn._xlws.FILTER(Tabla1[[#Data],[Humidade]],Tabla1[[ID]:[ID]]=$A57,0)),"")</f>
        <v/>
      </c>
      <c r="F57" t="str" cm="1">
        <f t="array" ref="F57">IF(IFERROR(MAX(_xlfn._xlws.FILTER(Tabla1[[#Data],[Humidade]],Tabla1[[ID]:[ID]]=$A57,0)),"")=0,"",IFERROR(MAX(_xlfn._xlws.FILTER(Tabla1[[#Data],[Humidade]],Tabla1[[ID]:[ID]]=$A57,0)),""))</f>
        <v/>
      </c>
      <c r="G57" t="str" cm="1">
        <f t="array" ref="G57">IF(IFERROR(MIN(_xlfn._xlws.FILTER(Tabla1[[#Data],[Humidade]],Tabla1[[ID]:[ID]]=$A57,0)),"")=0,"",IFERROR(MIN(_xlfn._xlws.FILTER(Tabla1[[#Data],[Humidade]],Tabla1[[ID]:[ID]]=$A57,0)),""))</f>
        <v/>
      </c>
      <c r="H57" t="str" cm="1">
        <f t="array" ref="H57">IFERROR(AVERAGE(_xlfn._xlws.FILTER(Tabla1[[#Data],[AcX]],Tabla1[[ID]:[ID]]=$A57,0)),"")</f>
        <v/>
      </c>
      <c r="I57" t="str" cm="1">
        <f t="array" ref="I57">IF(IFERROR(MAX(_xlfn._xlws.FILTER(Tabla1[[#Data],[AcX]],Tabla1[[ID]:[ID]]=$A57,0)),"")=0,"",IFERROR(MAX(_xlfn._xlws.FILTER(Tabla1[[#Data],[AcX]],Tabla1[[ID]:[ID]]=$A57,0)),""))</f>
        <v/>
      </c>
      <c r="J57" t="str" cm="1">
        <f t="array" ref="J57">IF(IFERROR(MIN(_xlfn._xlws.FILTER(Tabla1[[#Data],[AcX]],Tabla1[[ID]:[ID]]=$A57,0)),"")=0,"",IFERROR(MIN(_xlfn._xlws.FILTER(Tabla1[[#Data],[AcX]],Tabla1[[ID]:[ID]]=$A57,0)),""))</f>
        <v/>
      </c>
      <c r="K57" t="str" cm="1">
        <f t="array" ref="K57">IFERROR(AVERAGE(_xlfn._xlws.FILTER(Tabla1[[#Data],[AcY]],Tabla1[[ID]:[ID]]=$A57,0)),"")</f>
        <v/>
      </c>
      <c r="L57" t="str" cm="1">
        <f t="array" ref="L57">IF(IFERROR(MAX(_xlfn._xlws.FILTER(Tabla1[[#Data],[AcY]],Tabla1[[ID]:[ID]]=$A57,0)),"")=0,"",IFERROR(MAX(_xlfn._xlws.FILTER(Tabla1[[#Data],[AcY]],Tabla1[[ID]:[ID]]=$A57,0)),""))</f>
        <v/>
      </c>
      <c r="M57" t="str" cm="1">
        <f t="array" ref="M57">IF(IFERROR(MIN(_xlfn._xlws.FILTER(Tabla1[[#Data],[AcY]],Tabla1[[ID]:[ID]]=$A57,0)),"")=0,"",IFERROR(MIN(_xlfn._xlws.FILTER(Tabla1[[#Data],[AcY]],Tabla1[[ID]:[ID]]=$A57,0)),""))</f>
        <v/>
      </c>
      <c r="N57" t="str" cm="1">
        <f t="array" ref="N57">IFERROR(AVERAGE(_xlfn._xlws.FILTER(Tabla1[[#Data],[AcZ]],Tabla1[[ID]:[ID]]=$A57,0)),"")</f>
        <v/>
      </c>
      <c r="O57" t="str" cm="1">
        <f t="array" ref="O57">IF(IFERROR(MAX(_xlfn._xlws.FILTER(Tabla1[[#Data],[AcZ]],Tabla1[[ID]:[ID]]=$A57,0)),"")=0,"",IFERROR(MAX(_xlfn._xlws.FILTER(Tabla1[[#Data],[AcZ]],Tabla1[[ID]:[ID]]=$A57,0)),""))</f>
        <v/>
      </c>
      <c r="P57" t="str" cm="1">
        <f t="array" ref="P57">IF(IFERROR(MIN(_xlfn._xlws.FILTER(Tabla1[[#Data],[AcZ]],Tabla1[[ID]:[ID]]=$A57,0)),"")=0,"",IFERROR(MIN(_xlfn._xlws.FILTER(Tabla1[[#Data],[AcZ]],Tabla1[[ID]:[ID]]=$A57,0)),""))</f>
        <v/>
      </c>
      <c r="Q57" t="str" cm="1">
        <f t="array" ref="Q57">IFERROR(AVERAGE(_xlfn._xlws.FILTER(Tabla1[[#Data],[GyX]],Tabla1[[ID]:[ID]]=$A57,0)),"")</f>
        <v/>
      </c>
      <c r="R57" t="str" cm="1">
        <f t="array" ref="R57">IF(IFERROR(MAX(_xlfn._xlws.FILTER(Tabla1[[#Data],[GyX]],Tabla1[[ID]:[ID]]=$A57,0)),"")=0,"",IFERROR(MAX(_xlfn._xlws.FILTER(Tabla1[[#Data],[GyX]],Tabla1[[ID]:[ID]]=$A57,0)),""))</f>
        <v/>
      </c>
      <c r="S57" t="str" cm="1">
        <f t="array" ref="S57">IF(IFERROR(MIN(_xlfn._xlws.FILTER(Tabla1[[#Data],[GyX]],Tabla1[[ID]:[ID]]=$A57,0)),"")=0,"",IFERROR(MIN(_xlfn._xlws.FILTER(Tabla1[[#Data],[GyX]],Tabla1[[ID]:[ID]]=$A57,0)),""))</f>
        <v/>
      </c>
      <c r="T57" t="str" cm="1">
        <f t="array" ref="T57">IFERROR(AVERAGE(_xlfn._xlws.FILTER(Tabla1[[#Data],[GyY]],Tabla1[[ID]:[ID]]=$A57,0)),"")</f>
        <v/>
      </c>
      <c r="U57" t="str" cm="1">
        <f t="array" ref="U57">IF(IFERROR(MAX(_xlfn._xlws.FILTER(Tabla1[[#Data],[GyY]],Tabla1[[ID]:[ID]]=$A57,0)),"")=0,"",IFERROR(MAX(_xlfn._xlws.FILTER(Tabla1[[#Data],[GyY]],Tabla1[[ID]:[ID]]=$A57,0)),""))</f>
        <v/>
      </c>
      <c r="V57" t="str" cm="1">
        <f t="array" ref="V57">IF(IFERROR(MIN(_xlfn._xlws.FILTER(Tabla1[[#Data],[GyY]],Tabla1[[ID]:[ID]]=$A57,0)),"")=0,"",IFERROR(MIN(_xlfn._xlws.FILTER(Tabla1[[#Data],[GyY]],Tabla1[[ID]:[ID]]=$A57,0)),""))</f>
        <v/>
      </c>
      <c r="W57" t="str" cm="1">
        <f t="array" ref="W57">IFERROR(AVERAGE(_xlfn._xlws.FILTER(Tabla1[[#Data],[GyZ]],Tabla1[[ID]:[ID]]=$A57,0)),"")</f>
        <v/>
      </c>
      <c r="X57" t="str" cm="1">
        <f t="array" ref="X57">IF(IFERROR(MAX(_xlfn._xlws.FILTER(Tabla1[[#Data],[GyZ]],Tabla1[[ID]:[ID]]=$A57,0)),"")=0,"",IFERROR(MAX(_xlfn._xlws.FILTER(Tabla1[[#Data],[GyZ]],Tabla1[[ID]:[ID]]=$A57,0)),""))</f>
        <v/>
      </c>
      <c r="Y57" t="str" cm="1">
        <f t="array" ref="Y57">IF(IFERROR(MIN(_xlfn._xlws.FILTER(Tabla1[[#Data],[GyZ]],Tabla1[[ID]:[ID]]=$A57,0)),"")=0,"",IFERROR(MIN(_xlfn._xlws.FILTER(Tabla1[[#Data],[GyZ]],Tabla1[[ID]:[ID]]=$A57,0)),""))</f>
        <v/>
      </c>
      <c r="Z57" t="str" cm="1">
        <f t="array" ref="Z57">IF(ISNUMBER(A57),IF(ISNUMBER(MATCH(1,_xlfn._xlws.FILTER(Tabla1[[#Data],[Open]],Tabla1[[ID]:[ID]]=$A57,""))),1,0),"")</f>
        <v/>
      </c>
      <c r="AA57" t="str">
        <f t="shared" si="0"/>
        <v/>
      </c>
      <c r="AB57" t="str">
        <f t="shared" si="1"/>
        <v/>
      </c>
      <c r="AC57" t="str">
        <f t="shared" si="2"/>
        <v/>
      </c>
      <c r="AD57" t="str">
        <f t="shared" si="3"/>
        <v/>
      </c>
      <c r="AE57" t="str">
        <f t="shared" si="4"/>
        <v/>
      </c>
      <c r="AF57" t="str">
        <f t="shared" si="5"/>
        <v/>
      </c>
      <c r="AG57" t="str">
        <f t="shared" si="6"/>
        <v/>
      </c>
      <c r="AH57" t="str">
        <f t="shared" si="7"/>
        <v/>
      </c>
      <c r="AI57" t="str">
        <f t="shared" si="8"/>
        <v/>
      </c>
      <c r="AJ57" t="str">
        <f t="shared" si="9"/>
        <v/>
      </c>
    </row>
    <row r="58" spans="2:36" x14ac:dyDescent="0.35">
      <c r="B58" t="str" cm="1">
        <f t="array" ref="B58">IFERROR(AVERAGE(_xlfn._xlws.FILTER(Tabla1[[#Data],[Temperatura]],Tabla1[[ID]:[ID]]=$A58,0)),"")</f>
        <v/>
      </c>
      <c r="C58" t="str" cm="1">
        <f t="array" ref="C58">IF(IFERROR(MAX(_xlfn._xlws.FILTER(Tabla1[[#Data],[Temperatura]],Tabla1[[ID]:[ID]]=$A58,0)),"")=0,"",IFERROR(MAX(_xlfn._xlws.FILTER(Tabla1[[#Data],[Temperatura]],Tabla1[[ID]:[ID]]=$A58,0)),""))</f>
        <v/>
      </c>
      <c r="D58" t="str" cm="1">
        <f t="array" ref="D58">IF(IFERROR(MIN(_xlfn._xlws.FILTER(Tabla1[[#Data],[Temperatura]],Tabla1[[ID]:[ID]]=$A58,0)),"")=0,"",IFERROR(MIN(_xlfn._xlws.FILTER(Tabla1[[#Data],[Temperatura]],Tabla1[[ID]:[ID]]=$A58,0)),""))</f>
        <v/>
      </c>
      <c r="E58" t="str" cm="1">
        <f t="array" ref="E58">IFERROR(AVERAGE(_xlfn._xlws.FILTER(Tabla1[[#Data],[Humidade]],Tabla1[[ID]:[ID]]=$A58,0)),"")</f>
        <v/>
      </c>
      <c r="F58" t="str" cm="1">
        <f t="array" ref="F58">IF(IFERROR(MAX(_xlfn._xlws.FILTER(Tabla1[[#Data],[Humidade]],Tabla1[[ID]:[ID]]=$A58,0)),"")=0,"",IFERROR(MAX(_xlfn._xlws.FILTER(Tabla1[[#Data],[Humidade]],Tabla1[[ID]:[ID]]=$A58,0)),""))</f>
        <v/>
      </c>
      <c r="G58" t="str" cm="1">
        <f t="array" ref="G58">IF(IFERROR(MIN(_xlfn._xlws.FILTER(Tabla1[[#Data],[Humidade]],Tabla1[[ID]:[ID]]=$A58,0)),"")=0,"",IFERROR(MIN(_xlfn._xlws.FILTER(Tabla1[[#Data],[Humidade]],Tabla1[[ID]:[ID]]=$A58,0)),""))</f>
        <v/>
      </c>
      <c r="H58" t="str" cm="1">
        <f t="array" ref="H58">IFERROR(AVERAGE(_xlfn._xlws.FILTER(Tabla1[[#Data],[AcX]],Tabla1[[ID]:[ID]]=$A58,0)),"")</f>
        <v/>
      </c>
      <c r="I58" t="str" cm="1">
        <f t="array" ref="I58">IF(IFERROR(MAX(_xlfn._xlws.FILTER(Tabla1[[#Data],[AcX]],Tabla1[[ID]:[ID]]=$A58,0)),"")=0,"",IFERROR(MAX(_xlfn._xlws.FILTER(Tabla1[[#Data],[AcX]],Tabla1[[ID]:[ID]]=$A58,0)),""))</f>
        <v/>
      </c>
      <c r="J58" t="str" cm="1">
        <f t="array" ref="J58">IF(IFERROR(MIN(_xlfn._xlws.FILTER(Tabla1[[#Data],[AcX]],Tabla1[[ID]:[ID]]=$A58,0)),"")=0,"",IFERROR(MIN(_xlfn._xlws.FILTER(Tabla1[[#Data],[AcX]],Tabla1[[ID]:[ID]]=$A58,0)),""))</f>
        <v/>
      </c>
      <c r="K58" t="str" cm="1">
        <f t="array" ref="K58">IFERROR(AVERAGE(_xlfn._xlws.FILTER(Tabla1[[#Data],[AcY]],Tabla1[[ID]:[ID]]=$A58,0)),"")</f>
        <v/>
      </c>
      <c r="L58" t="str" cm="1">
        <f t="array" ref="L58">IF(IFERROR(MAX(_xlfn._xlws.FILTER(Tabla1[[#Data],[AcY]],Tabla1[[ID]:[ID]]=$A58,0)),"")=0,"",IFERROR(MAX(_xlfn._xlws.FILTER(Tabla1[[#Data],[AcY]],Tabla1[[ID]:[ID]]=$A58,0)),""))</f>
        <v/>
      </c>
      <c r="M58" t="str" cm="1">
        <f t="array" ref="M58">IF(IFERROR(MIN(_xlfn._xlws.FILTER(Tabla1[[#Data],[AcY]],Tabla1[[ID]:[ID]]=$A58,0)),"")=0,"",IFERROR(MIN(_xlfn._xlws.FILTER(Tabla1[[#Data],[AcY]],Tabla1[[ID]:[ID]]=$A58,0)),""))</f>
        <v/>
      </c>
      <c r="N58" t="str" cm="1">
        <f t="array" ref="N58">IFERROR(AVERAGE(_xlfn._xlws.FILTER(Tabla1[[#Data],[AcZ]],Tabla1[[ID]:[ID]]=$A58,0)),"")</f>
        <v/>
      </c>
      <c r="O58" t="str" cm="1">
        <f t="array" ref="O58">IF(IFERROR(MAX(_xlfn._xlws.FILTER(Tabla1[[#Data],[AcZ]],Tabla1[[ID]:[ID]]=$A58,0)),"")=0,"",IFERROR(MAX(_xlfn._xlws.FILTER(Tabla1[[#Data],[AcZ]],Tabla1[[ID]:[ID]]=$A58,0)),""))</f>
        <v/>
      </c>
      <c r="P58" t="str" cm="1">
        <f t="array" ref="P58">IF(IFERROR(MIN(_xlfn._xlws.FILTER(Tabla1[[#Data],[AcZ]],Tabla1[[ID]:[ID]]=$A58,0)),"")=0,"",IFERROR(MIN(_xlfn._xlws.FILTER(Tabla1[[#Data],[AcZ]],Tabla1[[ID]:[ID]]=$A58,0)),""))</f>
        <v/>
      </c>
      <c r="Q58" t="str" cm="1">
        <f t="array" ref="Q58">IFERROR(AVERAGE(_xlfn._xlws.FILTER(Tabla1[[#Data],[GyX]],Tabla1[[ID]:[ID]]=$A58,0)),"")</f>
        <v/>
      </c>
      <c r="R58" t="str" cm="1">
        <f t="array" ref="R58">IF(IFERROR(MAX(_xlfn._xlws.FILTER(Tabla1[[#Data],[GyX]],Tabla1[[ID]:[ID]]=$A58,0)),"")=0,"",IFERROR(MAX(_xlfn._xlws.FILTER(Tabla1[[#Data],[GyX]],Tabla1[[ID]:[ID]]=$A58,0)),""))</f>
        <v/>
      </c>
      <c r="S58" t="str" cm="1">
        <f t="array" ref="S58">IF(IFERROR(MIN(_xlfn._xlws.FILTER(Tabla1[[#Data],[GyX]],Tabla1[[ID]:[ID]]=$A58,0)),"")=0,"",IFERROR(MIN(_xlfn._xlws.FILTER(Tabla1[[#Data],[GyX]],Tabla1[[ID]:[ID]]=$A58,0)),""))</f>
        <v/>
      </c>
      <c r="T58" t="str" cm="1">
        <f t="array" ref="T58">IFERROR(AVERAGE(_xlfn._xlws.FILTER(Tabla1[[#Data],[GyY]],Tabla1[[ID]:[ID]]=$A58,0)),"")</f>
        <v/>
      </c>
      <c r="U58" t="str" cm="1">
        <f t="array" ref="U58">IF(IFERROR(MAX(_xlfn._xlws.FILTER(Tabla1[[#Data],[GyY]],Tabla1[[ID]:[ID]]=$A58,0)),"")=0,"",IFERROR(MAX(_xlfn._xlws.FILTER(Tabla1[[#Data],[GyY]],Tabla1[[ID]:[ID]]=$A58,0)),""))</f>
        <v/>
      </c>
      <c r="V58" t="str" cm="1">
        <f t="array" ref="V58">IF(IFERROR(MIN(_xlfn._xlws.FILTER(Tabla1[[#Data],[GyY]],Tabla1[[ID]:[ID]]=$A58,0)),"")=0,"",IFERROR(MIN(_xlfn._xlws.FILTER(Tabla1[[#Data],[GyY]],Tabla1[[ID]:[ID]]=$A58,0)),""))</f>
        <v/>
      </c>
      <c r="W58" t="str" cm="1">
        <f t="array" ref="W58">IFERROR(AVERAGE(_xlfn._xlws.FILTER(Tabla1[[#Data],[GyZ]],Tabla1[[ID]:[ID]]=$A58,0)),"")</f>
        <v/>
      </c>
      <c r="X58" t="str" cm="1">
        <f t="array" ref="X58">IF(IFERROR(MAX(_xlfn._xlws.FILTER(Tabla1[[#Data],[GyZ]],Tabla1[[ID]:[ID]]=$A58,0)),"")=0,"",IFERROR(MAX(_xlfn._xlws.FILTER(Tabla1[[#Data],[GyZ]],Tabla1[[ID]:[ID]]=$A58,0)),""))</f>
        <v/>
      </c>
      <c r="Y58" t="str" cm="1">
        <f t="array" ref="Y58">IF(IFERROR(MIN(_xlfn._xlws.FILTER(Tabla1[[#Data],[GyZ]],Tabla1[[ID]:[ID]]=$A58,0)),"")=0,"",IFERROR(MIN(_xlfn._xlws.FILTER(Tabla1[[#Data],[GyZ]],Tabla1[[ID]:[ID]]=$A58,0)),""))</f>
        <v/>
      </c>
      <c r="Z58" t="str" cm="1">
        <f t="array" ref="Z58">IF(ISNUMBER(A58),IF(ISNUMBER(MATCH(1,_xlfn._xlws.FILTER(Tabla1[[#Data],[Open]],Tabla1[[ID]:[ID]]=$A58,""))),1,0),"")</f>
        <v/>
      </c>
      <c r="AA58" t="str">
        <f t="shared" si="0"/>
        <v/>
      </c>
      <c r="AB58" t="str">
        <f t="shared" si="1"/>
        <v/>
      </c>
      <c r="AC58" t="str">
        <f t="shared" si="2"/>
        <v/>
      </c>
      <c r="AD58" t="str">
        <f t="shared" si="3"/>
        <v/>
      </c>
      <c r="AE58" t="str">
        <f t="shared" si="4"/>
        <v/>
      </c>
      <c r="AF58" t="str">
        <f t="shared" si="5"/>
        <v/>
      </c>
      <c r="AG58" t="str">
        <f t="shared" si="6"/>
        <v/>
      </c>
      <c r="AH58" t="str">
        <f t="shared" si="7"/>
        <v/>
      </c>
      <c r="AI58" t="str">
        <f t="shared" si="8"/>
        <v/>
      </c>
      <c r="AJ58" t="str">
        <f t="shared" si="9"/>
        <v/>
      </c>
    </row>
    <row r="59" spans="2:36" x14ac:dyDescent="0.35">
      <c r="B59" t="str" cm="1">
        <f t="array" ref="B59">IFERROR(AVERAGE(_xlfn._xlws.FILTER(Tabla1[[#Data],[Temperatura]],Tabla1[[ID]:[ID]]=$A59,0)),"")</f>
        <v/>
      </c>
      <c r="C59" t="str" cm="1">
        <f t="array" ref="C59">IF(IFERROR(MAX(_xlfn._xlws.FILTER(Tabla1[[#Data],[Temperatura]],Tabla1[[ID]:[ID]]=$A59,0)),"")=0,"",IFERROR(MAX(_xlfn._xlws.FILTER(Tabla1[[#Data],[Temperatura]],Tabla1[[ID]:[ID]]=$A59,0)),""))</f>
        <v/>
      </c>
      <c r="D59" t="str" cm="1">
        <f t="array" ref="D59">IF(IFERROR(MIN(_xlfn._xlws.FILTER(Tabla1[[#Data],[Temperatura]],Tabla1[[ID]:[ID]]=$A59,0)),"")=0,"",IFERROR(MIN(_xlfn._xlws.FILTER(Tabla1[[#Data],[Temperatura]],Tabla1[[ID]:[ID]]=$A59,0)),""))</f>
        <v/>
      </c>
      <c r="E59" t="str" cm="1">
        <f t="array" ref="E59">IFERROR(AVERAGE(_xlfn._xlws.FILTER(Tabla1[[#Data],[Humidade]],Tabla1[[ID]:[ID]]=$A59,0)),"")</f>
        <v/>
      </c>
      <c r="F59" t="str" cm="1">
        <f t="array" ref="F59">IF(IFERROR(MAX(_xlfn._xlws.FILTER(Tabla1[[#Data],[Humidade]],Tabla1[[ID]:[ID]]=$A59,0)),"")=0,"",IFERROR(MAX(_xlfn._xlws.FILTER(Tabla1[[#Data],[Humidade]],Tabla1[[ID]:[ID]]=$A59,0)),""))</f>
        <v/>
      </c>
      <c r="G59" t="str" cm="1">
        <f t="array" ref="G59">IF(IFERROR(MIN(_xlfn._xlws.FILTER(Tabla1[[#Data],[Humidade]],Tabla1[[ID]:[ID]]=$A59,0)),"")=0,"",IFERROR(MIN(_xlfn._xlws.FILTER(Tabla1[[#Data],[Humidade]],Tabla1[[ID]:[ID]]=$A59,0)),""))</f>
        <v/>
      </c>
      <c r="H59" t="str" cm="1">
        <f t="array" ref="H59">IFERROR(AVERAGE(_xlfn._xlws.FILTER(Tabla1[[#Data],[AcX]],Tabla1[[ID]:[ID]]=$A59,0)),"")</f>
        <v/>
      </c>
      <c r="I59" t="str" cm="1">
        <f t="array" ref="I59">IF(IFERROR(MAX(_xlfn._xlws.FILTER(Tabla1[[#Data],[AcX]],Tabla1[[ID]:[ID]]=$A59,0)),"")=0,"",IFERROR(MAX(_xlfn._xlws.FILTER(Tabla1[[#Data],[AcX]],Tabla1[[ID]:[ID]]=$A59,0)),""))</f>
        <v/>
      </c>
      <c r="J59" t="str" cm="1">
        <f t="array" ref="J59">IF(IFERROR(MIN(_xlfn._xlws.FILTER(Tabla1[[#Data],[AcX]],Tabla1[[ID]:[ID]]=$A59,0)),"")=0,"",IFERROR(MIN(_xlfn._xlws.FILTER(Tabla1[[#Data],[AcX]],Tabla1[[ID]:[ID]]=$A59,0)),""))</f>
        <v/>
      </c>
      <c r="K59" t="str" cm="1">
        <f t="array" ref="K59">IFERROR(AVERAGE(_xlfn._xlws.FILTER(Tabla1[[#Data],[AcY]],Tabla1[[ID]:[ID]]=$A59,0)),"")</f>
        <v/>
      </c>
      <c r="L59" t="str" cm="1">
        <f t="array" ref="L59">IF(IFERROR(MAX(_xlfn._xlws.FILTER(Tabla1[[#Data],[AcY]],Tabla1[[ID]:[ID]]=$A59,0)),"")=0,"",IFERROR(MAX(_xlfn._xlws.FILTER(Tabla1[[#Data],[AcY]],Tabla1[[ID]:[ID]]=$A59,0)),""))</f>
        <v/>
      </c>
      <c r="M59" t="str" cm="1">
        <f t="array" ref="M59">IF(IFERROR(MIN(_xlfn._xlws.FILTER(Tabla1[[#Data],[AcY]],Tabla1[[ID]:[ID]]=$A59,0)),"")=0,"",IFERROR(MIN(_xlfn._xlws.FILTER(Tabla1[[#Data],[AcY]],Tabla1[[ID]:[ID]]=$A59,0)),""))</f>
        <v/>
      </c>
      <c r="N59" t="str" cm="1">
        <f t="array" ref="N59">IFERROR(AVERAGE(_xlfn._xlws.FILTER(Tabla1[[#Data],[AcZ]],Tabla1[[ID]:[ID]]=$A59,0)),"")</f>
        <v/>
      </c>
      <c r="O59" t="str" cm="1">
        <f t="array" ref="O59">IF(IFERROR(MAX(_xlfn._xlws.FILTER(Tabla1[[#Data],[AcZ]],Tabla1[[ID]:[ID]]=$A59,0)),"")=0,"",IFERROR(MAX(_xlfn._xlws.FILTER(Tabla1[[#Data],[AcZ]],Tabla1[[ID]:[ID]]=$A59,0)),""))</f>
        <v/>
      </c>
      <c r="P59" t="str" cm="1">
        <f t="array" ref="P59">IF(IFERROR(MIN(_xlfn._xlws.FILTER(Tabla1[[#Data],[AcZ]],Tabla1[[ID]:[ID]]=$A59,0)),"")=0,"",IFERROR(MIN(_xlfn._xlws.FILTER(Tabla1[[#Data],[AcZ]],Tabla1[[ID]:[ID]]=$A59,0)),""))</f>
        <v/>
      </c>
      <c r="Q59" t="str" cm="1">
        <f t="array" ref="Q59">IFERROR(AVERAGE(_xlfn._xlws.FILTER(Tabla1[[#Data],[GyX]],Tabla1[[ID]:[ID]]=$A59,0)),"")</f>
        <v/>
      </c>
      <c r="R59" t="str" cm="1">
        <f t="array" ref="R59">IF(IFERROR(MAX(_xlfn._xlws.FILTER(Tabla1[[#Data],[GyX]],Tabla1[[ID]:[ID]]=$A59,0)),"")=0,"",IFERROR(MAX(_xlfn._xlws.FILTER(Tabla1[[#Data],[GyX]],Tabla1[[ID]:[ID]]=$A59,0)),""))</f>
        <v/>
      </c>
      <c r="S59" t="str" cm="1">
        <f t="array" ref="S59">IF(IFERROR(MIN(_xlfn._xlws.FILTER(Tabla1[[#Data],[GyX]],Tabla1[[ID]:[ID]]=$A59,0)),"")=0,"",IFERROR(MIN(_xlfn._xlws.FILTER(Tabla1[[#Data],[GyX]],Tabla1[[ID]:[ID]]=$A59,0)),""))</f>
        <v/>
      </c>
      <c r="T59" t="str" cm="1">
        <f t="array" ref="T59">IFERROR(AVERAGE(_xlfn._xlws.FILTER(Tabla1[[#Data],[GyY]],Tabla1[[ID]:[ID]]=$A59,0)),"")</f>
        <v/>
      </c>
      <c r="U59" t="str" cm="1">
        <f t="array" ref="U59">IF(IFERROR(MAX(_xlfn._xlws.FILTER(Tabla1[[#Data],[GyY]],Tabla1[[ID]:[ID]]=$A59,0)),"")=0,"",IFERROR(MAX(_xlfn._xlws.FILTER(Tabla1[[#Data],[GyY]],Tabla1[[ID]:[ID]]=$A59,0)),""))</f>
        <v/>
      </c>
      <c r="V59" t="str" cm="1">
        <f t="array" ref="V59">IF(IFERROR(MIN(_xlfn._xlws.FILTER(Tabla1[[#Data],[GyY]],Tabla1[[ID]:[ID]]=$A59,0)),"")=0,"",IFERROR(MIN(_xlfn._xlws.FILTER(Tabla1[[#Data],[GyY]],Tabla1[[ID]:[ID]]=$A59,0)),""))</f>
        <v/>
      </c>
      <c r="W59" t="str" cm="1">
        <f t="array" ref="W59">IFERROR(AVERAGE(_xlfn._xlws.FILTER(Tabla1[[#Data],[GyZ]],Tabla1[[ID]:[ID]]=$A59,0)),"")</f>
        <v/>
      </c>
      <c r="X59" t="str" cm="1">
        <f t="array" ref="X59">IF(IFERROR(MAX(_xlfn._xlws.FILTER(Tabla1[[#Data],[GyZ]],Tabla1[[ID]:[ID]]=$A59,0)),"")=0,"",IFERROR(MAX(_xlfn._xlws.FILTER(Tabla1[[#Data],[GyZ]],Tabla1[[ID]:[ID]]=$A59,0)),""))</f>
        <v/>
      </c>
      <c r="Y59" t="str" cm="1">
        <f t="array" ref="Y59">IF(IFERROR(MIN(_xlfn._xlws.FILTER(Tabla1[[#Data],[GyZ]],Tabla1[[ID]:[ID]]=$A59,0)),"")=0,"",IFERROR(MIN(_xlfn._xlws.FILTER(Tabla1[[#Data],[GyZ]],Tabla1[[ID]:[ID]]=$A59,0)),""))</f>
        <v/>
      </c>
      <c r="Z59" t="str" cm="1">
        <f t="array" ref="Z59">IF(ISNUMBER(A59),IF(ISNUMBER(MATCH(1,_xlfn._xlws.FILTER(Tabla1[[#Data],[Open]],Tabla1[[ID]:[ID]]=$A59,""))),1,0),"")</f>
        <v/>
      </c>
      <c r="AA59" t="str">
        <f t="shared" si="0"/>
        <v/>
      </c>
      <c r="AB59" t="str">
        <f t="shared" si="1"/>
        <v/>
      </c>
      <c r="AC59" t="str">
        <f t="shared" si="2"/>
        <v/>
      </c>
      <c r="AD59" t="str">
        <f t="shared" si="3"/>
        <v/>
      </c>
      <c r="AE59" t="str">
        <f t="shared" si="4"/>
        <v/>
      </c>
      <c r="AF59" t="str">
        <f t="shared" si="5"/>
        <v/>
      </c>
      <c r="AG59" t="str">
        <f t="shared" si="6"/>
        <v/>
      </c>
      <c r="AH59" t="str">
        <f t="shared" si="7"/>
        <v/>
      </c>
      <c r="AI59" t="str">
        <f t="shared" si="8"/>
        <v/>
      </c>
      <c r="AJ59" t="str">
        <f t="shared" si="9"/>
        <v/>
      </c>
    </row>
    <row r="60" spans="2:36" x14ac:dyDescent="0.35">
      <c r="B60" t="str" cm="1">
        <f t="array" ref="B60">IFERROR(AVERAGE(_xlfn._xlws.FILTER(Tabla1[[#Data],[Temperatura]],Tabla1[[ID]:[ID]]=$A60,0)),"")</f>
        <v/>
      </c>
      <c r="C60" t="str" cm="1">
        <f t="array" ref="C60">IF(IFERROR(MAX(_xlfn._xlws.FILTER(Tabla1[[#Data],[Temperatura]],Tabla1[[ID]:[ID]]=$A60,0)),"")=0,"",IFERROR(MAX(_xlfn._xlws.FILTER(Tabla1[[#Data],[Temperatura]],Tabla1[[ID]:[ID]]=$A60,0)),""))</f>
        <v/>
      </c>
      <c r="D60" t="str" cm="1">
        <f t="array" ref="D60">IF(IFERROR(MIN(_xlfn._xlws.FILTER(Tabla1[[#Data],[Temperatura]],Tabla1[[ID]:[ID]]=$A60,0)),"")=0,"",IFERROR(MIN(_xlfn._xlws.FILTER(Tabla1[[#Data],[Temperatura]],Tabla1[[ID]:[ID]]=$A60,0)),""))</f>
        <v/>
      </c>
      <c r="E60" t="str" cm="1">
        <f t="array" ref="E60">IFERROR(AVERAGE(_xlfn._xlws.FILTER(Tabla1[[#Data],[Humidade]],Tabla1[[ID]:[ID]]=$A60,0)),"")</f>
        <v/>
      </c>
      <c r="F60" t="str" cm="1">
        <f t="array" ref="F60">IF(IFERROR(MAX(_xlfn._xlws.FILTER(Tabla1[[#Data],[Humidade]],Tabla1[[ID]:[ID]]=$A60,0)),"")=0,"",IFERROR(MAX(_xlfn._xlws.FILTER(Tabla1[[#Data],[Humidade]],Tabla1[[ID]:[ID]]=$A60,0)),""))</f>
        <v/>
      </c>
      <c r="G60" t="str" cm="1">
        <f t="array" ref="G60">IF(IFERROR(MIN(_xlfn._xlws.FILTER(Tabla1[[#Data],[Humidade]],Tabla1[[ID]:[ID]]=$A60,0)),"")=0,"",IFERROR(MIN(_xlfn._xlws.FILTER(Tabla1[[#Data],[Humidade]],Tabla1[[ID]:[ID]]=$A60,0)),""))</f>
        <v/>
      </c>
      <c r="H60" t="str" cm="1">
        <f t="array" ref="H60">IFERROR(AVERAGE(_xlfn._xlws.FILTER(Tabla1[[#Data],[AcX]],Tabla1[[ID]:[ID]]=$A60,0)),"")</f>
        <v/>
      </c>
      <c r="I60" t="str" cm="1">
        <f t="array" ref="I60">IF(IFERROR(MAX(_xlfn._xlws.FILTER(Tabla1[[#Data],[AcX]],Tabla1[[ID]:[ID]]=$A60,0)),"")=0,"",IFERROR(MAX(_xlfn._xlws.FILTER(Tabla1[[#Data],[AcX]],Tabla1[[ID]:[ID]]=$A60,0)),""))</f>
        <v/>
      </c>
      <c r="J60" t="str" cm="1">
        <f t="array" ref="J60">IF(IFERROR(MIN(_xlfn._xlws.FILTER(Tabla1[[#Data],[AcX]],Tabla1[[ID]:[ID]]=$A60,0)),"")=0,"",IFERROR(MIN(_xlfn._xlws.FILTER(Tabla1[[#Data],[AcX]],Tabla1[[ID]:[ID]]=$A60,0)),""))</f>
        <v/>
      </c>
      <c r="K60" t="str" cm="1">
        <f t="array" ref="K60">IFERROR(AVERAGE(_xlfn._xlws.FILTER(Tabla1[[#Data],[AcY]],Tabla1[[ID]:[ID]]=$A60,0)),"")</f>
        <v/>
      </c>
      <c r="L60" t="str" cm="1">
        <f t="array" ref="L60">IF(IFERROR(MAX(_xlfn._xlws.FILTER(Tabla1[[#Data],[AcY]],Tabla1[[ID]:[ID]]=$A60,0)),"")=0,"",IFERROR(MAX(_xlfn._xlws.FILTER(Tabla1[[#Data],[AcY]],Tabla1[[ID]:[ID]]=$A60,0)),""))</f>
        <v/>
      </c>
      <c r="M60" t="str" cm="1">
        <f t="array" ref="M60">IF(IFERROR(MIN(_xlfn._xlws.FILTER(Tabla1[[#Data],[AcY]],Tabla1[[ID]:[ID]]=$A60,0)),"")=0,"",IFERROR(MIN(_xlfn._xlws.FILTER(Tabla1[[#Data],[AcY]],Tabla1[[ID]:[ID]]=$A60,0)),""))</f>
        <v/>
      </c>
      <c r="N60" t="str" cm="1">
        <f t="array" ref="N60">IFERROR(AVERAGE(_xlfn._xlws.FILTER(Tabla1[[#Data],[AcZ]],Tabla1[[ID]:[ID]]=$A60,0)),"")</f>
        <v/>
      </c>
      <c r="O60" t="str" cm="1">
        <f t="array" ref="O60">IF(IFERROR(MAX(_xlfn._xlws.FILTER(Tabla1[[#Data],[AcZ]],Tabla1[[ID]:[ID]]=$A60,0)),"")=0,"",IFERROR(MAX(_xlfn._xlws.FILTER(Tabla1[[#Data],[AcZ]],Tabla1[[ID]:[ID]]=$A60,0)),""))</f>
        <v/>
      </c>
      <c r="P60" t="str" cm="1">
        <f t="array" ref="P60">IF(IFERROR(MIN(_xlfn._xlws.FILTER(Tabla1[[#Data],[AcZ]],Tabla1[[ID]:[ID]]=$A60,0)),"")=0,"",IFERROR(MIN(_xlfn._xlws.FILTER(Tabla1[[#Data],[AcZ]],Tabla1[[ID]:[ID]]=$A60,0)),""))</f>
        <v/>
      </c>
      <c r="Q60" t="str" cm="1">
        <f t="array" ref="Q60">IFERROR(AVERAGE(_xlfn._xlws.FILTER(Tabla1[[#Data],[GyX]],Tabla1[[ID]:[ID]]=$A60,0)),"")</f>
        <v/>
      </c>
      <c r="R60" t="str" cm="1">
        <f t="array" ref="R60">IF(IFERROR(MAX(_xlfn._xlws.FILTER(Tabla1[[#Data],[GyX]],Tabla1[[ID]:[ID]]=$A60,0)),"")=0,"",IFERROR(MAX(_xlfn._xlws.FILTER(Tabla1[[#Data],[GyX]],Tabla1[[ID]:[ID]]=$A60,0)),""))</f>
        <v/>
      </c>
      <c r="S60" t="str" cm="1">
        <f t="array" ref="S60">IF(IFERROR(MIN(_xlfn._xlws.FILTER(Tabla1[[#Data],[GyX]],Tabla1[[ID]:[ID]]=$A60,0)),"")=0,"",IFERROR(MIN(_xlfn._xlws.FILTER(Tabla1[[#Data],[GyX]],Tabla1[[ID]:[ID]]=$A60,0)),""))</f>
        <v/>
      </c>
      <c r="T60" t="str" cm="1">
        <f t="array" ref="T60">IFERROR(AVERAGE(_xlfn._xlws.FILTER(Tabla1[[#Data],[GyY]],Tabla1[[ID]:[ID]]=$A60,0)),"")</f>
        <v/>
      </c>
      <c r="U60" t="str" cm="1">
        <f t="array" ref="U60">IF(IFERROR(MAX(_xlfn._xlws.FILTER(Tabla1[[#Data],[GyY]],Tabla1[[ID]:[ID]]=$A60,0)),"")=0,"",IFERROR(MAX(_xlfn._xlws.FILTER(Tabla1[[#Data],[GyY]],Tabla1[[ID]:[ID]]=$A60,0)),""))</f>
        <v/>
      </c>
      <c r="V60" t="str" cm="1">
        <f t="array" ref="V60">IF(IFERROR(MIN(_xlfn._xlws.FILTER(Tabla1[[#Data],[GyY]],Tabla1[[ID]:[ID]]=$A60,0)),"")=0,"",IFERROR(MIN(_xlfn._xlws.FILTER(Tabla1[[#Data],[GyY]],Tabla1[[ID]:[ID]]=$A60,0)),""))</f>
        <v/>
      </c>
      <c r="W60" t="str" cm="1">
        <f t="array" ref="W60">IFERROR(AVERAGE(_xlfn._xlws.FILTER(Tabla1[[#Data],[GyZ]],Tabla1[[ID]:[ID]]=$A60,0)),"")</f>
        <v/>
      </c>
      <c r="X60" t="str" cm="1">
        <f t="array" ref="X60">IF(IFERROR(MAX(_xlfn._xlws.FILTER(Tabla1[[#Data],[GyZ]],Tabla1[[ID]:[ID]]=$A60,0)),"")=0,"",IFERROR(MAX(_xlfn._xlws.FILTER(Tabla1[[#Data],[GyZ]],Tabla1[[ID]:[ID]]=$A60,0)),""))</f>
        <v/>
      </c>
      <c r="Y60" t="str" cm="1">
        <f t="array" ref="Y60">IF(IFERROR(MIN(_xlfn._xlws.FILTER(Tabla1[[#Data],[GyZ]],Tabla1[[ID]:[ID]]=$A60,0)),"")=0,"",IFERROR(MIN(_xlfn._xlws.FILTER(Tabla1[[#Data],[GyZ]],Tabla1[[ID]:[ID]]=$A60,0)),""))</f>
        <v/>
      </c>
      <c r="Z60" t="str" cm="1">
        <f t="array" ref="Z60">IF(ISNUMBER(A60),IF(ISNUMBER(MATCH(1,_xlfn._xlws.FILTER(Tabla1[[#Data],[Open]],Tabla1[[ID]:[ID]]=$A60,""))),1,0),"")</f>
        <v/>
      </c>
      <c r="AA60" t="str">
        <f t="shared" si="0"/>
        <v/>
      </c>
      <c r="AB60" t="str">
        <f t="shared" si="1"/>
        <v/>
      </c>
      <c r="AC60" t="str">
        <f t="shared" si="2"/>
        <v/>
      </c>
      <c r="AD60" t="str">
        <f t="shared" si="3"/>
        <v/>
      </c>
      <c r="AE60" t="str">
        <f t="shared" si="4"/>
        <v/>
      </c>
      <c r="AF60" t="str">
        <f t="shared" si="5"/>
        <v/>
      </c>
      <c r="AG60" t="str">
        <f t="shared" si="6"/>
        <v/>
      </c>
      <c r="AH60" t="str">
        <f t="shared" si="7"/>
        <v/>
      </c>
      <c r="AI60" t="str">
        <f t="shared" si="8"/>
        <v/>
      </c>
      <c r="AJ60" t="str">
        <f t="shared" si="9"/>
        <v/>
      </c>
    </row>
    <row r="61" spans="2:36" x14ac:dyDescent="0.35">
      <c r="B61" t="str" cm="1">
        <f t="array" ref="B61">IFERROR(AVERAGE(_xlfn._xlws.FILTER(Tabla1[[#Data],[Temperatura]],Tabla1[[ID]:[ID]]=$A61,0)),"")</f>
        <v/>
      </c>
      <c r="C61" t="str" cm="1">
        <f t="array" ref="C61">IF(IFERROR(MAX(_xlfn._xlws.FILTER(Tabla1[[#Data],[Temperatura]],Tabla1[[ID]:[ID]]=$A61,0)),"")=0,"",IFERROR(MAX(_xlfn._xlws.FILTER(Tabla1[[#Data],[Temperatura]],Tabla1[[ID]:[ID]]=$A61,0)),""))</f>
        <v/>
      </c>
      <c r="D61" t="str" cm="1">
        <f t="array" ref="D61">IF(IFERROR(MIN(_xlfn._xlws.FILTER(Tabla1[[#Data],[Temperatura]],Tabla1[[ID]:[ID]]=$A61,0)),"")=0,"",IFERROR(MIN(_xlfn._xlws.FILTER(Tabla1[[#Data],[Temperatura]],Tabla1[[ID]:[ID]]=$A61,0)),""))</f>
        <v/>
      </c>
      <c r="E61" t="str" cm="1">
        <f t="array" ref="E61">IFERROR(AVERAGE(_xlfn._xlws.FILTER(Tabla1[[#Data],[Humidade]],Tabla1[[ID]:[ID]]=$A61,0)),"")</f>
        <v/>
      </c>
      <c r="F61" t="str" cm="1">
        <f t="array" ref="F61">IF(IFERROR(MAX(_xlfn._xlws.FILTER(Tabla1[[#Data],[Humidade]],Tabla1[[ID]:[ID]]=$A61,0)),"")=0,"",IFERROR(MAX(_xlfn._xlws.FILTER(Tabla1[[#Data],[Humidade]],Tabla1[[ID]:[ID]]=$A61,0)),""))</f>
        <v/>
      </c>
      <c r="G61" t="str" cm="1">
        <f t="array" ref="G61">IF(IFERROR(MIN(_xlfn._xlws.FILTER(Tabla1[[#Data],[Humidade]],Tabla1[[ID]:[ID]]=$A61,0)),"")=0,"",IFERROR(MIN(_xlfn._xlws.FILTER(Tabla1[[#Data],[Humidade]],Tabla1[[ID]:[ID]]=$A61,0)),""))</f>
        <v/>
      </c>
      <c r="H61" t="str" cm="1">
        <f t="array" ref="H61">IFERROR(AVERAGE(_xlfn._xlws.FILTER(Tabla1[[#Data],[AcX]],Tabla1[[ID]:[ID]]=$A61,0)),"")</f>
        <v/>
      </c>
      <c r="I61" t="str" cm="1">
        <f t="array" ref="I61">IF(IFERROR(MAX(_xlfn._xlws.FILTER(Tabla1[[#Data],[AcX]],Tabla1[[ID]:[ID]]=$A61,0)),"")=0,"",IFERROR(MAX(_xlfn._xlws.FILTER(Tabla1[[#Data],[AcX]],Tabla1[[ID]:[ID]]=$A61,0)),""))</f>
        <v/>
      </c>
      <c r="J61" t="str" cm="1">
        <f t="array" ref="J61">IF(IFERROR(MIN(_xlfn._xlws.FILTER(Tabla1[[#Data],[AcX]],Tabla1[[ID]:[ID]]=$A61,0)),"")=0,"",IFERROR(MIN(_xlfn._xlws.FILTER(Tabla1[[#Data],[AcX]],Tabla1[[ID]:[ID]]=$A61,0)),""))</f>
        <v/>
      </c>
      <c r="K61" t="str" cm="1">
        <f t="array" ref="K61">IFERROR(AVERAGE(_xlfn._xlws.FILTER(Tabla1[[#Data],[AcY]],Tabla1[[ID]:[ID]]=$A61,0)),"")</f>
        <v/>
      </c>
      <c r="L61" t="str" cm="1">
        <f t="array" ref="L61">IF(IFERROR(MAX(_xlfn._xlws.FILTER(Tabla1[[#Data],[AcY]],Tabla1[[ID]:[ID]]=$A61,0)),"")=0,"",IFERROR(MAX(_xlfn._xlws.FILTER(Tabla1[[#Data],[AcY]],Tabla1[[ID]:[ID]]=$A61,0)),""))</f>
        <v/>
      </c>
      <c r="M61" t="str" cm="1">
        <f t="array" ref="M61">IF(IFERROR(MIN(_xlfn._xlws.FILTER(Tabla1[[#Data],[AcY]],Tabla1[[ID]:[ID]]=$A61,0)),"")=0,"",IFERROR(MIN(_xlfn._xlws.FILTER(Tabla1[[#Data],[AcY]],Tabla1[[ID]:[ID]]=$A61,0)),""))</f>
        <v/>
      </c>
      <c r="N61" t="str" cm="1">
        <f t="array" ref="N61">IFERROR(AVERAGE(_xlfn._xlws.FILTER(Tabla1[[#Data],[AcZ]],Tabla1[[ID]:[ID]]=$A61,0)),"")</f>
        <v/>
      </c>
      <c r="O61" t="str" cm="1">
        <f t="array" ref="O61">IF(IFERROR(MAX(_xlfn._xlws.FILTER(Tabla1[[#Data],[AcZ]],Tabla1[[ID]:[ID]]=$A61,0)),"")=0,"",IFERROR(MAX(_xlfn._xlws.FILTER(Tabla1[[#Data],[AcZ]],Tabla1[[ID]:[ID]]=$A61,0)),""))</f>
        <v/>
      </c>
      <c r="P61" t="str" cm="1">
        <f t="array" ref="P61">IF(IFERROR(MIN(_xlfn._xlws.FILTER(Tabla1[[#Data],[AcZ]],Tabla1[[ID]:[ID]]=$A61,0)),"")=0,"",IFERROR(MIN(_xlfn._xlws.FILTER(Tabla1[[#Data],[AcZ]],Tabla1[[ID]:[ID]]=$A61,0)),""))</f>
        <v/>
      </c>
      <c r="Q61" t="str" cm="1">
        <f t="array" ref="Q61">IFERROR(AVERAGE(_xlfn._xlws.FILTER(Tabla1[[#Data],[GyX]],Tabla1[[ID]:[ID]]=$A61,0)),"")</f>
        <v/>
      </c>
      <c r="R61" t="str" cm="1">
        <f t="array" ref="R61">IF(IFERROR(MAX(_xlfn._xlws.FILTER(Tabla1[[#Data],[GyX]],Tabla1[[ID]:[ID]]=$A61,0)),"")=0,"",IFERROR(MAX(_xlfn._xlws.FILTER(Tabla1[[#Data],[GyX]],Tabla1[[ID]:[ID]]=$A61,0)),""))</f>
        <v/>
      </c>
      <c r="S61" t="str" cm="1">
        <f t="array" ref="S61">IF(IFERROR(MIN(_xlfn._xlws.FILTER(Tabla1[[#Data],[GyX]],Tabla1[[ID]:[ID]]=$A61,0)),"")=0,"",IFERROR(MIN(_xlfn._xlws.FILTER(Tabla1[[#Data],[GyX]],Tabla1[[ID]:[ID]]=$A61,0)),""))</f>
        <v/>
      </c>
      <c r="T61" t="str" cm="1">
        <f t="array" ref="T61">IFERROR(AVERAGE(_xlfn._xlws.FILTER(Tabla1[[#Data],[GyY]],Tabla1[[ID]:[ID]]=$A61,0)),"")</f>
        <v/>
      </c>
      <c r="U61" t="str" cm="1">
        <f t="array" ref="U61">IF(IFERROR(MAX(_xlfn._xlws.FILTER(Tabla1[[#Data],[GyY]],Tabla1[[ID]:[ID]]=$A61,0)),"")=0,"",IFERROR(MAX(_xlfn._xlws.FILTER(Tabla1[[#Data],[GyY]],Tabla1[[ID]:[ID]]=$A61,0)),""))</f>
        <v/>
      </c>
      <c r="V61" t="str" cm="1">
        <f t="array" ref="V61">IF(IFERROR(MIN(_xlfn._xlws.FILTER(Tabla1[[#Data],[GyY]],Tabla1[[ID]:[ID]]=$A61,0)),"")=0,"",IFERROR(MIN(_xlfn._xlws.FILTER(Tabla1[[#Data],[GyY]],Tabla1[[ID]:[ID]]=$A61,0)),""))</f>
        <v/>
      </c>
      <c r="W61" t="str" cm="1">
        <f t="array" ref="W61">IFERROR(AVERAGE(_xlfn._xlws.FILTER(Tabla1[[#Data],[GyZ]],Tabla1[[ID]:[ID]]=$A61,0)),"")</f>
        <v/>
      </c>
      <c r="X61" t="str" cm="1">
        <f t="array" ref="X61">IF(IFERROR(MAX(_xlfn._xlws.FILTER(Tabla1[[#Data],[GyZ]],Tabla1[[ID]:[ID]]=$A61,0)),"")=0,"",IFERROR(MAX(_xlfn._xlws.FILTER(Tabla1[[#Data],[GyZ]],Tabla1[[ID]:[ID]]=$A61,0)),""))</f>
        <v/>
      </c>
      <c r="Y61" t="str" cm="1">
        <f t="array" ref="Y61">IF(IFERROR(MIN(_xlfn._xlws.FILTER(Tabla1[[#Data],[GyZ]],Tabla1[[ID]:[ID]]=$A61,0)),"")=0,"",IFERROR(MIN(_xlfn._xlws.FILTER(Tabla1[[#Data],[GyZ]],Tabla1[[ID]:[ID]]=$A61,0)),""))</f>
        <v/>
      </c>
      <c r="Z61" t="str" cm="1">
        <f t="array" ref="Z61">IF(ISNUMBER(A61),IF(ISNUMBER(MATCH(1,_xlfn._xlws.FILTER(Tabla1[[#Data],[Open]],Tabla1[[ID]:[ID]]=$A61,""))),1,0),"")</f>
        <v/>
      </c>
      <c r="AA61" t="str">
        <f t="shared" si="0"/>
        <v/>
      </c>
      <c r="AB61" t="str">
        <f t="shared" si="1"/>
        <v/>
      </c>
      <c r="AC61" t="str">
        <f t="shared" si="2"/>
        <v/>
      </c>
      <c r="AD61" t="str">
        <f t="shared" si="3"/>
        <v/>
      </c>
      <c r="AE61" t="str">
        <f t="shared" si="4"/>
        <v/>
      </c>
      <c r="AF61" t="str">
        <f t="shared" si="5"/>
        <v/>
      </c>
      <c r="AG61" t="str">
        <f t="shared" si="6"/>
        <v/>
      </c>
      <c r="AH61" t="str">
        <f t="shared" si="7"/>
        <v/>
      </c>
      <c r="AI61" t="str">
        <f t="shared" si="8"/>
        <v/>
      </c>
      <c r="AJ61" t="str">
        <f t="shared" si="9"/>
        <v/>
      </c>
    </row>
    <row r="62" spans="2:36" x14ac:dyDescent="0.35">
      <c r="B62" t="str" cm="1">
        <f t="array" ref="B62">IFERROR(AVERAGE(_xlfn._xlws.FILTER(Tabla1[[#Data],[Temperatura]],Tabla1[[ID]:[ID]]=$A62,0)),"")</f>
        <v/>
      </c>
      <c r="C62" t="str" cm="1">
        <f t="array" ref="C62">IF(IFERROR(MAX(_xlfn._xlws.FILTER(Tabla1[[#Data],[Temperatura]],Tabla1[[ID]:[ID]]=$A62,0)),"")=0,"",IFERROR(MAX(_xlfn._xlws.FILTER(Tabla1[[#Data],[Temperatura]],Tabla1[[ID]:[ID]]=$A62,0)),""))</f>
        <v/>
      </c>
      <c r="D62" t="str" cm="1">
        <f t="array" ref="D62">IF(IFERROR(MIN(_xlfn._xlws.FILTER(Tabla1[[#Data],[Temperatura]],Tabla1[[ID]:[ID]]=$A62,0)),"")=0,"",IFERROR(MIN(_xlfn._xlws.FILTER(Tabla1[[#Data],[Temperatura]],Tabla1[[ID]:[ID]]=$A62,0)),""))</f>
        <v/>
      </c>
      <c r="E62" t="str" cm="1">
        <f t="array" ref="E62">IFERROR(AVERAGE(_xlfn._xlws.FILTER(Tabla1[[#Data],[Humidade]],Tabla1[[ID]:[ID]]=$A62,0)),"")</f>
        <v/>
      </c>
      <c r="F62" t="str" cm="1">
        <f t="array" ref="F62">IF(IFERROR(MAX(_xlfn._xlws.FILTER(Tabla1[[#Data],[Humidade]],Tabla1[[ID]:[ID]]=$A62,0)),"")=0,"",IFERROR(MAX(_xlfn._xlws.FILTER(Tabla1[[#Data],[Humidade]],Tabla1[[ID]:[ID]]=$A62,0)),""))</f>
        <v/>
      </c>
      <c r="G62" t="str" cm="1">
        <f t="array" ref="G62">IF(IFERROR(MIN(_xlfn._xlws.FILTER(Tabla1[[#Data],[Humidade]],Tabla1[[ID]:[ID]]=$A62,0)),"")=0,"",IFERROR(MIN(_xlfn._xlws.FILTER(Tabla1[[#Data],[Humidade]],Tabla1[[ID]:[ID]]=$A62,0)),""))</f>
        <v/>
      </c>
      <c r="H62" t="str" cm="1">
        <f t="array" ref="H62">IFERROR(AVERAGE(_xlfn._xlws.FILTER(Tabla1[[#Data],[AcX]],Tabla1[[ID]:[ID]]=$A62,0)),"")</f>
        <v/>
      </c>
      <c r="I62" t="str" cm="1">
        <f t="array" ref="I62">IF(IFERROR(MAX(_xlfn._xlws.FILTER(Tabla1[[#Data],[AcX]],Tabla1[[ID]:[ID]]=$A62,0)),"")=0,"",IFERROR(MAX(_xlfn._xlws.FILTER(Tabla1[[#Data],[AcX]],Tabla1[[ID]:[ID]]=$A62,0)),""))</f>
        <v/>
      </c>
      <c r="J62" t="str" cm="1">
        <f t="array" ref="J62">IF(IFERROR(MIN(_xlfn._xlws.FILTER(Tabla1[[#Data],[AcX]],Tabla1[[ID]:[ID]]=$A62,0)),"")=0,"",IFERROR(MIN(_xlfn._xlws.FILTER(Tabla1[[#Data],[AcX]],Tabla1[[ID]:[ID]]=$A62,0)),""))</f>
        <v/>
      </c>
      <c r="K62" t="str" cm="1">
        <f t="array" ref="K62">IFERROR(AVERAGE(_xlfn._xlws.FILTER(Tabla1[[#Data],[AcY]],Tabla1[[ID]:[ID]]=$A62,0)),"")</f>
        <v/>
      </c>
      <c r="L62" t="str" cm="1">
        <f t="array" ref="L62">IF(IFERROR(MAX(_xlfn._xlws.FILTER(Tabla1[[#Data],[AcY]],Tabla1[[ID]:[ID]]=$A62,0)),"")=0,"",IFERROR(MAX(_xlfn._xlws.FILTER(Tabla1[[#Data],[AcY]],Tabla1[[ID]:[ID]]=$A62,0)),""))</f>
        <v/>
      </c>
      <c r="M62" t="str" cm="1">
        <f t="array" ref="M62">IF(IFERROR(MIN(_xlfn._xlws.FILTER(Tabla1[[#Data],[AcY]],Tabla1[[ID]:[ID]]=$A62,0)),"")=0,"",IFERROR(MIN(_xlfn._xlws.FILTER(Tabla1[[#Data],[AcY]],Tabla1[[ID]:[ID]]=$A62,0)),""))</f>
        <v/>
      </c>
      <c r="N62" t="str" cm="1">
        <f t="array" ref="N62">IFERROR(AVERAGE(_xlfn._xlws.FILTER(Tabla1[[#Data],[AcZ]],Tabla1[[ID]:[ID]]=$A62,0)),"")</f>
        <v/>
      </c>
      <c r="O62" t="str" cm="1">
        <f t="array" ref="O62">IF(IFERROR(MAX(_xlfn._xlws.FILTER(Tabla1[[#Data],[AcZ]],Tabla1[[ID]:[ID]]=$A62,0)),"")=0,"",IFERROR(MAX(_xlfn._xlws.FILTER(Tabla1[[#Data],[AcZ]],Tabla1[[ID]:[ID]]=$A62,0)),""))</f>
        <v/>
      </c>
      <c r="P62" t="str" cm="1">
        <f t="array" ref="P62">IF(IFERROR(MIN(_xlfn._xlws.FILTER(Tabla1[[#Data],[AcZ]],Tabla1[[ID]:[ID]]=$A62,0)),"")=0,"",IFERROR(MIN(_xlfn._xlws.FILTER(Tabla1[[#Data],[AcZ]],Tabla1[[ID]:[ID]]=$A62,0)),""))</f>
        <v/>
      </c>
      <c r="Q62" t="str" cm="1">
        <f t="array" ref="Q62">IFERROR(AVERAGE(_xlfn._xlws.FILTER(Tabla1[[#Data],[GyX]],Tabla1[[ID]:[ID]]=$A62,0)),"")</f>
        <v/>
      </c>
      <c r="R62" t="str" cm="1">
        <f t="array" ref="R62">IF(IFERROR(MAX(_xlfn._xlws.FILTER(Tabla1[[#Data],[GyX]],Tabla1[[ID]:[ID]]=$A62,0)),"")=0,"",IFERROR(MAX(_xlfn._xlws.FILTER(Tabla1[[#Data],[GyX]],Tabla1[[ID]:[ID]]=$A62,0)),""))</f>
        <v/>
      </c>
      <c r="S62" t="str" cm="1">
        <f t="array" ref="S62">IF(IFERROR(MIN(_xlfn._xlws.FILTER(Tabla1[[#Data],[GyX]],Tabla1[[ID]:[ID]]=$A62,0)),"")=0,"",IFERROR(MIN(_xlfn._xlws.FILTER(Tabla1[[#Data],[GyX]],Tabla1[[ID]:[ID]]=$A62,0)),""))</f>
        <v/>
      </c>
      <c r="T62" t="str" cm="1">
        <f t="array" ref="T62">IFERROR(AVERAGE(_xlfn._xlws.FILTER(Tabla1[[#Data],[GyY]],Tabla1[[ID]:[ID]]=$A62,0)),"")</f>
        <v/>
      </c>
      <c r="U62" t="str" cm="1">
        <f t="array" ref="U62">IF(IFERROR(MAX(_xlfn._xlws.FILTER(Tabla1[[#Data],[GyY]],Tabla1[[ID]:[ID]]=$A62,0)),"")=0,"",IFERROR(MAX(_xlfn._xlws.FILTER(Tabla1[[#Data],[GyY]],Tabla1[[ID]:[ID]]=$A62,0)),""))</f>
        <v/>
      </c>
      <c r="V62" t="str" cm="1">
        <f t="array" ref="V62">IF(IFERROR(MIN(_xlfn._xlws.FILTER(Tabla1[[#Data],[GyY]],Tabla1[[ID]:[ID]]=$A62,0)),"")=0,"",IFERROR(MIN(_xlfn._xlws.FILTER(Tabla1[[#Data],[GyY]],Tabla1[[ID]:[ID]]=$A62,0)),""))</f>
        <v/>
      </c>
      <c r="W62" t="str" cm="1">
        <f t="array" ref="W62">IFERROR(AVERAGE(_xlfn._xlws.FILTER(Tabla1[[#Data],[GyZ]],Tabla1[[ID]:[ID]]=$A62,0)),"")</f>
        <v/>
      </c>
      <c r="X62" t="str" cm="1">
        <f t="array" ref="X62">IF(IFERROR(MAX(_xlfn._xlws.FILTER(Tabla1[[#Data],[GyZ]],Tabla1[[ID]:[ID]]=$A62,0)),"")=0,"",IFERROR(MAX(_xlfn._xlws.FILTER(Tabla1[[#Data],[GyZ]],Tabla1[[ID]:[ID]]=$A62,0)),""))</f>
        <v/>
      </c>
      <c r="Y62" t="str" cm="1">
        <f t="array" ref="Y62">IF(IFERROR(MIN(_xlfn._xlws.FILTER(Tabla1[[#Data],[GyZ]],Tabla1[[ID]:[ID]]=$A62,0)),"")=0,"",IFERROR(MIN(_xlfn._xlws.FILTER(Tabla1[[#Data],[GyZ]],Tabla1[[ID]:[ID]]=$A62,0)),""))</f>
        <v/>
      </c>
      <c r="Z62" t="str" cm="1">
        <f t="array" ref="Z62">IF(ISNUMBER(A62),IF(ISNUMBER(MATCH(1,_xlfn._xlws.FILTER(Tabla1[[#Data],[Open]],Tabla1[[ID]:[ID]]=$A62,""))),1,0),"")</f>
        <v/>
      </c>
      <c r="AA62" t="str">
        <f t="shared" si="0"/>
        <v/>
      </c>
      <c r="AB62" t="str">
        <f t="shared" si="1"/>
        <v/>
      </c>
      <c r="AC62" t="str">
        <f t="shared" si="2"/>
        <v/>
      </c>
      <c r="AD62" t="str">
        <f t="shared" si="3"/>
        <v/>
      </c>
      <c r="AE62" t="str">
        <f t="shared" si="4"/>
        <v/>
      </c>
      <c r="AF62" t="str">
        <f t="shared" si="5"/>
        <v/>
      </c>
      <c r="AG62" t="str">
        <f t="shared" si="6"/>
        <v/>
      </c>
      <c r="AH62" t="str">
        <f t="shared" si="7"/>
        <v/>
      </c>
      <c r="AI62" t="str">
        <f t="shared" si="8"/>
        <v/>
      </c>
      <c r="AJ62" t="str">
        <f t="shared" si="9"/>
        <v/>
      </c>
    </row>
    <row r="63" spans="2:36" x14ac:dyDescent="0.35">
      <c r="B63" t="str" cm="1">
        <f t="array" ref="B63">IFERROR(AVERAGE(_xlfn._xlws.FILTER(Tabla1[[#Data],[Temperatura]],Tabla1[[ID]:[ID]]=$A63,0)),"")</f>
        <v/>
      </c>
      <c r="C63" t="str" cm="1">
        <f t="array" ref="C63">IF(IFERROR(MAX(_xlfn._xlws.FILTER(Tabla1[[#Data],[Temperatura]],Tabla1[[ID]:[ID]]=$A63,0)),"")=0,"",IFERROR(MAX(_xlfn._xlws.FILTER(Tabla1[[#Data],[Temperatura]],Tabla1[[ID]:[ID]]=$A63,0)),""))</f>
        <v/>
      </c>
      <c r="D63" t="str" cm="1">
        <f t="array" ref="D63">IF(IFERROR(MIN(_xlfn._xlws.FILTER(Tabla1[[#Data],[Temperatura]],Tabla1[[ID]:[ID]]=$A63,0)),"")=0,"",IFERROR(MIN(_xlfn._xlws.FILTER(Tabla1[[#Data],[Temperatura]],Tabla1[[ID]:[ID]]=$A63,0)),""))</f>
        <v/>
      </c>
      <c r="E63" t="str" cm="1">
        <f t="array" ref="E63">IFERROR(AVERAGE(_xlfn._xlws.FILTER(Tabla1[[#Data],[Humidade]],Tabla1[[ID]:[ID]]=$A63,0)),"")</f>
        <v/>
      </c>
      <c r="F63" t="str" cm="1">
        <f t="array" ref="F63">IF(IFERROR(MAX(_xlfn._xlws.FILTER(Tabla1[[#Data],[Humidade]],Tabla1[[ID]:[ID]]=$A63,0)),"")=0,"",IFERROR(MAX(_xlfn._xlws.FILTER(Tabla1[[#Data],[Humidade]],Tabla1[[ID]:[ID]]=$A63,0)),""))</f>
        <v/>
      </c>
      <c r="G63" t="str" cm="1">
        <f t="array" ref="G63">IF(IFERROR(MIN(_xlfn._xlws.FILTER(Tabla1[[#Data],[Humidade]],Tabla1[[ID]:[ID]]=$A63,0)),"")=0,"",IFERROR(MIN(_xlfn._xlws.FILTER(Tabla1[[#Data],[Humidade]],Tabla1[[ID]:[ID]]=$A63,0)),""))</f>
        <v/>
      </c>
      <c r="H63" t="str" cm="1">
        <f t="array" ref="H63">IFERROR(AVERAGE(_xlfn._xlws.FILTER(Tabla1[[#Data],[AcX]],Tabla1[[ID]:[ID]]=$A63,0)),"")</f>
        <v/>
      </c>
      <c r="I63" t="str" cm="1">
        <f t="array" ref="I63">IF(IFERROR(MAX(_xlfn._xlws.FILTER(Tabla1[[#Data],[AcX]],Tabla1[[ID]:[ID]]=$A63,0)),"")=0,"",IFERROR(MAX(_xlfn._xlws.FILTER(Tabla1[[#Data],[AcX]],Tabla1[[ID]:[ID]]=$A63,0)),""))</f>
        <v/>
      </c>
      <c r="J63" t="str" cm="1">
        <f t="array" ref="J63">IF(IFERROR(MIN(_xlfn._xlws.FILTER(Tabla1[[#Data],[AcX]],Tabla1[[ID]:[ID]]=$A63,0)),"")=0,"",IFERROR(MIN(_xlfn._xlws.FILTER(Tabla1[[#Data],[AcX]],Tabla1[[ID]:[ID]]=$A63,0)),""))</f>
        <v/>
      </c>
      <c r="K63" t="str" cm="1">
        <f t="array" ref="K63">IFERROR(AVERAGE(_xlfn._xlws.FILTER(Tabla1[[#Data],[AcY]],Tabla1[[ID]:[ID]]=$A63,0)),"")</f>
        <v/>
      </c>
      <c r="L63" t="str" cm="1">
        <f t="array" ref="L63">IF(IFERROR(MAX(_xlfn._xlws.FILTER(Tabla1[[#Data],[AcY]],Tabla1[[ID]:[ID]]=$A63,0)),"")=0,"",IFERROR(MAX(_xlfn._xlws.FILTER(Tabla1[[#Data],[AcY]],Tabla1[[ID]:[ID]]=$A63,0)),""))</f>
        <v/>
      </c>
      <c r="M63" t="str" cm="1">
        <f t="array" ref="M63">IF(IFERROR(MIN(_xlfn._xlws.FILTER(Tabla1[[#Data],[AcY]],Tabla1[[ID]:[ID]]=$A63,0)),"")=0,"",IFERROR(MIN(_xlfn._xlws.FILTER(Tabla1[[#Data],[AcY]],Tabla1[[ID]:[ID]]=$A63,0)),""))</f>
        <v/>
      </c>
      <c r="N63" t="str" cm="1">
        <f t="array" ref="N63">IFERROR(AVERAGE(_xlfn._xlws.FILTER(Tabla1[[#Data],[AcZ]],Tabla1[[ID]:[ID]]=$A63,0)),"")</f>
        <v/>
      </c>
      <c r="O63" t="str" cm="1">
        <f t="array" ref="O63">IF(IFERROR(MAX(_xlfn._xlws.FILTER(Tabla1[[#Data],[AcZ]],Tabla1[[ID]:[ID]]=$A63,0)),"")=0,"",IFERROR(MAX(_xlfn._xlws.FILTER(Tabla1[[#Data],[AcZ]],Tabla1[[ID]:[ID]]=$A63,0)),""))</f>
        <v/>
      </c>
      <c r="P63" t="str" cm="1">
        <f t="array" ref="P63">IF(IFERROR(MIN(_xlfn._xlws.FILTER(Tabla1[[#Data],[AcZ]],Tabla1[[ID]:[ID]]=$A63,0)),"")=0,"",IFERROR(MIN(_xlfn._xlws.FILTER(Tabla1[[#Data],[AcZ]],Tabla1[[ID]:[ID]]=$A63,0)),""))</f>
        <v/>
      </c>
      <c r="Q63" t="str" cm="1">
        <f t="array" ref="Q63">IFERROR(AVERAGE(_xlfn._xlws.FILTER(Tabla1[[#Data],[GyX]],Tabla1[[ID]:[ID]]=$A63,0)),"")</f>
        <v/>
      </c>
      <c r="R63" t="str" cm="1">
        <f t="array" ref="R63">IF(IFERROR(MAX(_xlfn._xlws.FILTER(Tabla1[[#Data],[GyX]],Tabla1[[ID]:[ID]]=$A63,0)),"")=0,"",IFERROR(MAX(_xlfn._xlws.FILTER(Tabla1[[#Data],[GyX]],Tabla1[[ID]:[ID]]=$A63,0)),""))</f>
        <v/>
      </c>
      <c r="S63" t="str" cm="1">
        <f t="array" ref="S63">IF(IFERROR(MIN(_xlfn._xlws.FILTER(Tabla1[[#Data],[GyX]],Tabla1[[ID]:[ID]]=$A63,0)),"")=0,"",IFERROR(MIN(_xlfn._xlws.FILTER(Tabla1[[#Data],[GyX]],Tabla1[[ID]:[ID]]=$A63,0)),""))</f>
        <v/>
      </c>
      <c r="T63" t="str" cm="1">
        <f t="array" ref="T63">IFERROR(AVERAGE(_xlfn._xlws.FILTER(Tabla1[[#Data],[GyY]],Tabla1[[ID]:[ID]]=$A63,0)),"")</f>
        <v/>
      </c>
      <c r="U63" t="str" cm="1">
        <f t="array" ref="U63">IF(IFERROR(MAX(_xlfn._xlws.FILTER(Tabla1[[#Data],[GyY]],Tabla1[[ID]:[ID]]=$A63,0)),"")=0,"",IFERROR(MAX(_xlfn._xlws.FILTER(Tabla1[[#Data],[GyY]],Tabla1[[ID]:[ID]]=$A63,0)),""))</f>
        <v/>
      </c>
      <c r="V63" t="str" cm="1">
        <f t="array" ref="V63">IF(IFERROR(MIN(_xlfn._xlws.FILTER(Tabla1[[#Data],[GyY]],Tabla1[[ID]:[ID]]=$A63,0)),"")=0,"",IFERROR(MIN(_xlfn._xlws.FILTER(Tabla1[[#Data],[GyY]],Tabla1[[ID]:[ID]]=$A63,0)),""))</f>
        <v/>
      </c>
      <c r="W63" t="str" cm="1">
        <f t="array" ref="W63">IFERROR(AVERAGE(_xlfn._xlws.FILTER(Tabla1[[#Data],[GyZ]],Tabla1[[ID]:[ID]]=$A63,0)),"")</f>
        <v/>
      </c>
      <c r="X63" t="str" cm="1">
        <f t="array" ref="X63">IF(IFERROR(MAX(_xlfn._xlws.FILTER(Tabla1[[#Data],[GyZ]],Tabla1[[ID]:[ID]]=$A63,0)),"")=0,"",IFERROR(MAX(_xlfn._xlws.FILTER(Tabla1[[#Data],[GyZ]],Tabla1[[ID]:[ID]]=$A63,0)),""))</f>
        <v/>
      </c>
      <c r="Y63" t="str" cm="1">
        <f t="array" ref="Y63">IF(IFERROR(MIN(_xlfn._xlws.FILTER(Tabla1[[#Data],[GyZ]],Tabla1[[ID]:[ID]]=$A63,0)),"")=0,"",IFERROR(MIN(_xlfn._xlws.FILTER(Tabla1[[#Data],[GyZ]],Tabla1[[ID]:[ID]]=$A63,0)),""))</f>
        <v/>
      </c>
      <c r="Z63" t="str" cm="1">
        <f t="array" ref="Z63">IF(ISNUMBER(A63),IF(ISNUMBER(MATCH(1,_xlfn._xlws.FILTER(Tabla1[[#Data],[Open]],Tabla1[[ID]:[ID]]=$A63,""))),1,0),"")</f>
        <v/>
      </c>
      <c r="AA63" t="str">
        <f t="shared" si="0"/>
        <v/>
      </c>
      <c r="AB63" t="str">
        <f t="shared" si="1"/>
        <v/>
      </c>
      <c r="AC63" t="str">
        <f t="shared" si="2"/>
        <v/>
      </c>
      <c r="AD63" t="str">
        <f t="shared" si="3"/>
        <v/>
      </c>
      <c r="AE63" t="str">
        <f t="shared" si="4"/>
        <v/>
      </c>
      <c r="AF63" t="str">
        <f t="shared" si="5"/>
        <v/>
      </c>
      <c r="AG63" t="str">
        <f t="shared" si="6"/>
        <v/>
      </c>
      <c r="AH63" t="str">
        <f t="shared" si="7"/>
        <v/>
      </c>
      <c r="AI63" t="str">
        <f t="shared" si="8"/>
        <v/>
      </c>
      <c r="AJ63" t="str">
        <f t="shared" si="9"/>
        <v/>
      </c>
    </row>
    <row r="64" spans="2:36" x14ac:dyDescent="0.35">
      <c r="B64" t="str" cm="1">
        <f t="array" ref="B64">IFERROR(AVERAGE(_xlfn._xlws.FILTER(Tabla1[[#Data],[Temperatura]],Tabla1[[ID]:[ID]]=$A64,0)),"")</f>
        <v/>
      </c>
      <c r="C64" t="str" cm="1">
        <f t="array" ref="C64">IF(IFERROR(MAX(_xlfn._xlws.FILTER(Tabla1[[#Data],[Temperatura]],Tabla1[[ID]:[ID]]=$A64,0)),"")=0,"",IFERROR(MAX(_xlfn._xlws.FILTER(Tabla1[[#Data],[Temperatura]],Tabla1[[ID]:[ID]]=$A64,0)),""))</f>
        <v/>
      </c>
      <c r="D64" t="str" cm="1">
        <f t="array" ref="D64">IF(IFERROR(MIN(_xlfn._xlws.FILTER(Tabla1[[#Data],[Temperatura]],Tabla1[[ID]:[ID]]=$A64,0)),"")=0,"",IFERROR(MIN(_xlfn._xlws.FILTER(Tabla1[[#Data],[Temperatura]],Tabla1[[ID]:[ID]]=$A64,0)),""))</f>
        <v/>
      </c>
      <c r="E64" t="str" cm="1">
        <f t="array" ref="E64">IFERROR(AVERAGE(_xlfn._xlws.FILTER(Tabla1[[#Data],[Humidade]],Tabla1[[ID]:[ID]]=$A64,0)),"")</f>
        <v/>
      </c>
      <c r="F64" t="str" cm="1">
        <f t="array" ref="F64">IF(IFERROR(MAX(_xlfn._xlws.FILTER(Tabla1[[#Data],[Humidade]],Tabla1[[ID]:[ID]]=$A64,0)),"")=0,"",IFERROR(MAX(_xlfn._xlws.FILTER(Tabla1[[#Data],[Humidade]],Tabla1[[ID]:[ID]]=$A64,0)),""))</f>
        <v/>
      </c>
      <c r="G64" t="str" cm="1">
        <f t="array" ref="G64">IF(IFERROR(MIN(_xlfn._xlws.FILTER(Tabla1[[#Data],[Humidade]],Tabla1[[ID]:[ID]]=$A64,0)),"")=0,"",IFERROR(MIN(_xlfn._xlws.FILTER(Tabla1[[#Data],[Humidade]],Tabla1[[ID]:[ID]]=$A64,0)),""))</f>
        <v/>
      </c>
      <c r="H64" t="str" cm="1">
        <f t="array" ref="H64">IFERROR(AVERAGE(_xlfn._xlws.FILTER(Tabla1[[#Data],[AcX]],Tabla1[[ID]:[ID]]=$A64,0)),"")</f>
        <v/>
      </c>
      <c r="I64" t="str" cm="1">
        <f t="array" ref="I64">IF(IFERROR(MAX(_xlfn._xlws.FILTER(Tabla1[[#Data],[AcX]],Tabla1[[ID]:[ID]]=$A64,0)),"")=0,"",IFERROR(MAX(_xlfn._xlws.FILTER(Tabla1[[#Data],[AcX]],Tabla1[[ID]:[ID]]=$A64,0)),""))</f>
        <v/>
      </c>
      <c r="J64" t="str" cm="1">
        <f t="array" ref="J64">IF(IFERROR(MIN(_xlfn._xlws.FILTER(Tabla1[[#Data],[AcX]],Tabla1[[ID]:[ID]]=$A64,0)),"")=0,"",IFERROR(MIN(_xlfn._xlws.FILTER(Tabla1[[#Data],[AcX]],Tabla1[[ID]:[ID]]=$A64,0)),""))</f>
        <v/>
      </c>
      <c r="K64" t="str" cm="1">
        <f t="array" ref="K64">IFERROR(AVERAGE(_xlfn._xlws.FILTER(Tabla1[[#Data],[AcY]],Tabla1[[ID]:[ID]]=$A64,0)),"")</f>
        <v/>
      </c>
      <c r="L64" t="str" cm="1">
        <f t="array" ref="L64">IF(IFERROR(MAX(_xlfn._xlws.FILTER(Tabla1[[#Data],[AcY]],Tabla1[[ID]:[ID]]=$A64,0)),"")=0,"",IFERROR(MAX(_xlfn._xlws.FILTER(Tabla1[[#Data],[AcY]],Tabla1[[ID]:[ID]]=$A64,0)),""))</f>
        <v/>
      </c>
      <c r="M64" t="str" cm="1">
        <f t="array" ref="M64">IF(IFERROR(MIN(_xlfn._xlws.FILTER(Tabla1[[#Data],[AcY]],Tabla1[[ID]:[ID]]=$A64,0)),"")=0,"",IFERROR(MIN(_xlfn._xlws.FILTER(Tabla1[[#Data],[AcY]],Tabla1[[ID]:[ID]]=$A64,0)),""))</f>
        <v/>
      </c>
      <c r="N64" t="str" cm="1">
        <f t="array" ref="N64">IFERROR(AVERAGE(_xlfn._xlws.FILTER(Tabla1[[#Data],[AcZ]],Tabla1[[ID]:[ID]]=$A64,0)),"")</f>
        <v/>
      </c>
      <c r="O64" t="str" cm="1">
        <f t="array" ref="O64">IF(IFERROR(MAX(_xlfn._xlws.FILTER(Tabla1[[#Data],[AcZ]],Tabla1[[ID]:[ID]]=$A64,0)),"")=0,"",IFERROR(MAX(_xlfn._xlws.FILTER(Tabla1[[#Data],[AcZ]],Tabla1[[ID]:[ID]]=$A64,0)),""))</f>
        <v/>
      </c>
      <c r="P64" t="str" cm="1">
        <f t="array" ref="P64">IF(IFERROR(MIN(_xlfn._xlws.FILTER(Tabla1[[#Data],[AcZ]],Tabla1[[ID]:[ID]]=$A64,0)),"")=0,"",IFERROR(MIN(_xlfn._xlws.FILTER(Tabla1[[#Data],[AcZ]],Tabla1[[ID]:[ID]]=$A64,0)),""))</f>
        <v/>
      </c>
      <c r="Q64" t="str" cm="1">
        <f t="array" ref="Q64">IFERROR(AVERAGE(_xlfn._xlws.FILTER(Tabla1[[#Data],[GyX]],Tabla1[[ID]:[ID]]=$A64,0)),"")</f>
        <v/>
      </c>
      <c r="R64" t="str" cm="1">
        <f t="array" ref="R64">IF(IFERROR(MAX(_xlfn._xlws.FILTER(Tabla1[[#Data],[GyX]],Tabla1[[ID]:[ID]]=$A64,0)),"")=0,"",IFERROR(MAX(_xlfn._xlws.FILTER(Tabla1[[#Data],[GyX]],Tabla1[[ID]:[ID]]=$A64,0)),""))</f>
        <v/>
      </c>
      <c r="S64" t="str" cm="1">
        <f t="array" ref="S64">IF(IFERROR(MIN(_xlfn._xlws.FILTER(Tabla1[[#Data],[GyX]],Tabla1[[ID]:[ID]]=$A64,0)),"")=0,"",IFERROR(MIN(_xlfn._xlws.FILTER(Tabla1[[#Data],[GyX]],Tabla1[[ID]:[ID]]=$A64,0)),""))</f>
        <v/>
      </c>
      <c r="T64" t="str" cm="1">
        <f t="array" ref="T64">IFERROR(AVERAGE(_xlfn._xlws.FILTER(Tabla1[[#Data],[GyY]],Tabla1[[ID]:[ID]]=$A64,0)),"")</f>
        <v/>
      </c>
      <c r="U64" t="str" cm="1">
        <f t="array" ref="U64">IF(IFERROR(MAX(_xlfn._xlws.FILTER(Tabla1[[#Data],[GyY]],Tabla1[[ID]:[ID]]=$A64,0)),"")=0,"",IFERROR(MAX(_xlfn._xlws.FILTER(Tabla1[[#Data],[GyY]],Tabla1[[ID]:[ID]]=$A64,0)),""))</f>
        <v/>
      </c>
      <c r="V64" t="str" cm="1">
        <f t="array" ref="V64">IF(IFERROR(MIN(_xlfn._xlws.FILTER(Tabla1[[#Data],[GyY]],Tabla1[[ID]:[ID]]=$A64,0)),"")=0,"",IFERROR(MIN(_xlfn._xlws.FILTER(Tabla1[[#Data],[GyY]],Tabla1[[ID]:[ID]]=$A64,0)),""))</f>
        <v/>
      </c>
      <c r="W64" t="str" cm="1">
        <f t="array" ref="W64">IFERROR(AVERAGE(_xlfn._xlws.FILTER(Tabla1[[#Data],[GyZ]],Tabla1[[ID]:[ID]]=$A64,0)),"")</f>
        <v/>
      </c>
      <c r="X64" t="str" cm="1">
        <f t="array" ref="X64">IF(IFERROR(MAX(_xlfn._xlws.FILTER(Tabla1[[#Data],[GyZ]],Tabla1[[ID]:[ID]]=$A64,0)),"")=0,"",IFERROR(MAX(_xlfn._xlws.FILTER(Tabla1[[#Data],[GyZ]],Tabla1[[ID]:[ID]]=$A64,0)),""))</f>
        <v/>
      </c>
      <c r="Y64" t="str" cm="1">
        <f t="array" ref="Y64">IF(IFERROR(MIN(_xlfn._xlws.FILTER(Tabla1[[#Data],[GyZ]],Tabla1[[ID]:[ID]]=$A64,0)),"")=0,"",IFERROR(MIN(_xlfn._xlws.FILTER(Tabla1[[#Data],[GyZ]],Tabla1[[ID]:[ID]]=$A64,0)),""))</f>
        <v/>
      </c>
      <c r="Z64" t="str" cm="1">
        <f t="array" ref="Z64">IF(ISNUMBER(A64),IF(ISNUMBER(MATCH(1,_xlfn._xlws.FILTER(Tabla1[[#Data],[Open]],Tabla1[[ID]:[ID]]=$A64,""))),1,0),"")</f>
        <v/>
      </c>
      <c r="AA64" t="str">
        <f t="shared" si="0"/>
        <v/>
      </c>
      <c r="AB64" t="str">
        <f t="shared" si="1"/>
        <v/>
      </c>
      <c r="AC64" t="str">
        <f t="shared" si="2"/>
        <v/>
      </c>
      <c r="AD64" t="str">
        <f t="shared" si="3"/>
        <v/>
      </c>
      <c r="AE64" t="str">
        <f t="shared" si="4"/>
        <v/>
      </c>
      <c r="AF64" t="str">
        <f t="shared" si="5"/>
        <v/>
      </c>
      <c r="AG64" t="str">
        <f t="shared" si="6"/>
        <v/>
      </c>
      <c r="AH64" t="str">
        <f t="shared" si="7"/>
        <v/>
      </c>
      <c r="AI64" t="str">
        <f t="shared" si="8"/>
        <v/>
      </c>
      <c r="AJ64" t="str">
        <f t="shared" si="9"/>
        <v/>
      </c>
    </row>
    <row r="65" spans="2:36" x14ac:dyDescent="0.35">
      <c r="B65" t="str" cm="1">
        <f t="array" ref="B65">IFERROR(AVERAGE(_xlfn._xlws.FILTER(Tabla1[[#Data],[Temperatura]],Tabla1[[ID]:[ID]]=$A65,0)),"")</f>
        <v/>
      </c>
      <c r="C65" t="str" cm="1">
        <f t="array" ref="C65">IF(IFERROR(MAX(_xlfn._xlws.FILTER(Tabla1[[#Data],[Temperatura]],Tabla1[[ID]:[ID]]=$A65,0)),"")=0,"",IFERROR(MAX(_xlfn._xlws.FILTER(Tabla1[[#Data],[Temperatura]],Tabla1[[ID]:[ID]]=$A65,0)),""))</f>
        <v/>
      </c>
      <c r="D65" t="str" cm="1">
        <f t="array" ref="D65">IF(IFERROR(MIN(_xlfn._xlws.FILTER(Tabla1[[#Data],[Temperatura]],Tabla1[[ID]:[ID]]=$A65,0)),"")=0,"",IFERROR(MIN(_xlfn._xlws.FILTER(Tabla1[[#Data],[Temperatura]],Tabla1[[ID]:[ID]]=$A65,0)),""))</f>
        <v/>
      </c>
      <c r="E65" t="str" cm="1">
        <f t="array" ref="E65">IFERROR(AVERAGE(_xlfn._xlws.FILTER(Tabla1[[#Data],[Humidade]],Tabla1[[ID]:[ID]]=$A65,0)),"")</f>
        <v/>
      </c>
      <c r="F65" t="str" cm="1">
        <f t="array" ref="F65">IF(IFERROR(MAX(_xlfn._xlws.FILTER(Tabla1[[#Data],[Humidade]],Tabla1[[ID]:[ID]]=$A65,0)),"")=0,"",IFERROR(MAX(_xlfn._xlws.FILTER(Tabla1[[#Data],[Humidade]],Tabla1[[ID]:[ID]]=$A65,0)),""))</f>
        <v/>
      </c>
      <c r="G65" t="str" cm="1">
        <f t="array" ref="G65">IF(IFERROR(MIN(_xlfn._xlws.FILTER(Tabla1[[#Data],[Humidade]],Tabla1[[ID]:[ID]]=$A65,0)),"")=0,"",IFERROR(MIN(_xlfn._xlws.FILTER(Tabla1[[#Data],[Humidade]],Tabla1[[ID]:[ID]]=$A65,0)),""))</f>
        <v/>
      </c>
      <c r="H65" t="str" cm="1">
        <f t="array" ref="H65">IFERROR(AVERAGE(_xlfn._xlws.FILTER(Tabla1[[#Data],[AcX]],Tabla1[[ID]:[ID]]=$A65,0)),"")</f>
        <v/>
      </c>
      <c r="I65" t="str" cm="1">
        <f t="array" ref="I65">IF(IFERROR(MAX(_xlfn._xlws.FILTER(Tabla1[[#Data],[AcX]],Tabla1[[ID]:[ID]]=$A65,0)),"")=0,"",IFERROR(MAX(_xlfn._xlws.FILTER(Tabla1[[#Data],[AcX]],Tabla1[[ID]:[ID]]=$A65,0)),""))</f>
        <v/>
      </c>
      <c r="J65" t="str" cm="1">
        <f t="array" ref="J65">IF(IFERROR(MIN(_xlfn._xlws.FILTER(Tabla1[[#Data],[AcX]],Tabla1[[ID]:[ID]]=$A65,0)),"")=0,"",IFERROR(MIN(_xlfn._xlws.FILTER(Tabla1[[#Data],[AcX]],Tabla1[[ID]:[ID]]=$A65,0)),""))</f>
        <v/>
      </c>
      <c r="K65" t="str" cm="1">
        <f t="array" ref="K65">IFERROR(AVERAGE(_xlfn._xlws.FILTER(Tabla1[[#Data],[AcY]],Tabla1[[ID]:[ID]]=$A65,0)),"")</f>
        <v/>
      </c>
      <c r="L65" t="str" cm="1">
        <f t="array" ref="L65">IF(IFERROR(MAX(_xlfn._xlws.FILTER(Tabla1[[#Data],[AcY]],Tabla1[[ID]:[ID]]=$A65,0)),"")=0,"",IFERROR(MAX(_xlfn._xlws.FILTER(Tabla1[[#Data],[AcY]],Tabla1[[ID]:[ID]]=$A65,0)),""))</f>
        <v/>
      </c>
      <c r="M65" t="str" cm="1">
        <f t="array" ref="M65">IF(IFERROR(MIN(_xlfn._xlws.FILTER(Tabla1[[#Data],[AcY]],Tabla1[[ID]:[ID]]=$A65,0)),"")=0,"",IFERROR(MIN(_xlfn._xlws.FILTER(Tabla1[[#Data],[AcY]],Tabla1[[ID]:[ID]]=$A65,0)),""))</f>
        <v/>
      </c>
      <c r="N65" t="str" cm="1">
        <f t="array" ref="N65">IFERROR(AVERAGE(_xlfn._xlws.FILTER(Tabla1[[#Data],[AcZ]],Tabla1[[ID]:[ID]]=$A65,0)),"")</f>
        <v/>
      </c>
      <c r="O65" t="str" cm="1">
        <f t="array" ref="O65">IF(IFERROR(MAX(_xlfn._xlws.FILTER(Tabla1[[#Data],[AcZ]],Tabla1[[ID]:[ID]]=$A65,0)),"")=0,"",IFERROR(MAX(_xlfn._xlws.FILTER(Tabla1[[#Data],[AcZ]],Tabla1[[ID]:[ID]]=$A65,0)),""))</f>
        <v/>
      </c>
      <c r="P65" t="str" cm="1">
        <f t="array" ref="P65">IF(IFERROR(MIN(_xlfn._xlws.FILTER(Tabla1[[#Data],[AcZ]],Tabla1[[ID]:[ID]]=$A65,0)),"")=0,"",IFERROR(MIN(_xlfn._xlws.FILTER(Tabla1[[#Data],[AcZ]],Tabla1[[ID]:[ID]]=$A65,0)),""))</f>
        <v/>
      </c>
      <c r="Q65" t="str" cm="1">
        <f t="array" ref="Q65">IFERROR(AVERAGE(_xlfn._xlws.FILTER(Tabla1[[#Data],[GyX]],Tabla1[[ID]:[ID]]=$A65,0)),"")</f>
        <v/>
      </c>
      <c r="R65" t="str" cm="1">
        <f t="array" ref="R65">IF(IFERROR(MAX(_xlfn._xlws.FILTER(Tabla1[[#Data],[GyX]],Tabla1[[ID]:[ID]]=$A65,0)),"")=0,"",IFERROR(MAX(_xlfn._xlws.FILTER(Tabla1[[#Data],[GyX]],Tabla1[[ID]:[ID]]=$A65,0)),""))</f>
        <v/>
      </c>
      <c r="S65" t="str" cm="1">
        <f t="array" ref="S65">IF(IFERROR(MIN(_xlfn._xlws.FILTER(Tabla1[[#Data],[GyX]],Tabla1[[ID]:[ID]]=$A65,0)),"")=0,"",IFERROR(MIN(_xlfn._xlws.FILTER(Tabla1[[#Data],[GyX]],Tabla1[[ID]:[ID]]=$A65,0)),""))</f>
        <v/>
      </c>
      <c r="T65" t="str" cm="1">
        <f t="array" ref="T65">IFERROR(AVERAGE(_xlfn._xlws.FILTER(Tabla1[[#Data],[GyY]],Tabla1[[ID]:[ID]]=$A65,0)),"")</f>
        <v/>
      </c>
      <c r="U65" t="str" cm="1">
        <f t="array" ref="U65">IF(IFERROR(MAX(_xlfn._xlws.FILTER(Tabla1[[#Data],[GyY]],Tabla1[[ID]:[ID]]=$A65,0)),"")=0,"",IFERROR(MAX(_xlfn._xlws.FILTER(Tabla1[[#Data],[GyY]],Tabla1[[ID]:[ID]]=$A65,0)),""))</f>
        <v/>
      </c>
      <c r="V65" t="str" cm="1">
        <f t="array" ref="V65">IF(IFERROR(MIN(_xlfn._xlws.FILTER(Tabla1[[#Data],[GyY]],Tabla1[[ID]:[ID]]=$A65,0)),"")=0,"",IFERROR(MIN(_xlfn._xlws.FILTER(Tabla1[[#Data],[GyY]],Tabla1[[ID]:[ID]]=$A65,0)),""))</f>
        <v/>
      </c>
      <c r="W65" t="str" cm="1">
        <f t="array" ref="W65">IFERROR(AVERAGE(_xlfn._xlws.FILTER(Tabla1[[#Data],[GyZ]],Tabla1[[ID]:[ID]]=$A65,0)),"")</f>
        <v/>
      </c>
      <c r="X65" t="str" cm="1">
        <f t="array" ref="X65">IF(IFERROR(MAX(_xlfn._xlws.FILTER(Tabla1[[#Data],[GyZ]],Tabla1[[ID]:[ID]]=$A65,0)),"")=0,"",IFERROR(MAX(_xlfn._xlws.FILTER(Tabla1[[#Data],[GyZ]],Tabla1[[ID]:[ID]]=$A65,0)),""))</f>
        <v/>
      </c>
      <c r="Y65" t="str" cm="1">
        <f t="array" ref="Y65">IF(IFERROR(MIN(_xlfn._xlws.FILTER(Tabla1[[#Data],[GyZ]],Tabla1[[ID]:[ID]]=$A65,0)),"")=0,"",IFERROR(MIN(_xlfn._xlws.FILTER(Tabla1[[#Data],[GyZ]],Tabla1[[ID]:[ID]]=$A65,0)),""))</f>
        <v/>
      </c>
      <c r="Z65" t="str" cm="1">
        <f t="array" ref="Z65">IF(ISNUMBER(A65),IF(ISNUMBER(MATCH(1,_xlfn._xlws.FILTER(Tabla1[[#Data],[Open]],Tabla1[[ID]:[ID]]=$A65,""))),1,0),"")</f>
        <v/>
      </c>
      <c r="AA65" t="str">
        <f t="shared" si="0"/>
        <v/>
      </c>
      <c r="AB65" t="str">
        <f t="shared" si="1"/>
        <v/>
      </c>
      <c r="AC65" t="str">
        <f t="shared" si="2"/>
        <v/>
      </c>
      <c r="AD65" t="str">
        <f t="shared" si="3"/>
        <v/>
      </c>
      <c r="AE65" t="str">
        <f t="shared" si="4"/>
        <v/>
      </c>
      <c r="AF65" t="str">
        <f t="shared" si="5"/>
        <v/>
      </c>
      <c r="AG65" t="str">
        <f t="shared" si="6"/>
        <v/>
      </c>
      <c r="AH65" t="str">
        <f t="shared" si="7"/>
        <v/>
      </c>
      <c r="AI65" t="str">
        <f t="shared" si="8"/>
        <v/>
      </c>
      <c r="AJ65" t="str">
        <f t="shared" si="9"/>
        <v/>
      </c>
    </row>
    <row r="66" spans="2:36" x14ac:dyDescent="0.35">
      <c r="B66" t="str" cm="1">
        <f t="array" ref="B66">IFERROR(AVERAGE(_xlfn._xlws.FILTER(Tabla1[[#Data],[Temperatura]],Tabla1[[ID]:[ID]]=$A66,0)),"")</f>
        <v/>
      </c>
      <c r="C66" t="str" cm="1">
        <f t="array" ref="C66">IF(IFERROR(MAX(_xlfn._xlws.FILTER(Tabla1[[#Data],[Temperatura]],Tabla1[[ID]:[ID]]=$A66,0)),"")=0,"",IFERROR(MAX(_xlfn._xlws.FILTER(Tabla1[[#Data],[Temperatura]],Tabla1[[ID]:[ID]]=$A66,0)),""))</f>
        <v/>
      </c>
      <c r="D66" t="str" cm="1">
        <f t="array" ref="D66">IF(IFERROR(MIN(_xlfn._xlws.FILTER(Tabla1[[#Data],[Temperatura]],Tabla1[[ID]:[ID]]=$A66,0)),"")=0,"",IFERROR(MIN(_xlfn._xlws.FILTER(Tabla1[[#Data],[Temperatura]],Tabla1[[ID]:[ID]]=$A66,0)),""))</f>
        <v/>
      </c>
      <c r="E66" t="str" cm="1">
        <f t="array" ref="E66">IFERROR(AVERAGE(_xlfn._xlws.FILTER(Tabla1[[#Data],[Humidade]],Tabla1[[ID]:[ID]]=$A66,0)),"")</f>
        <v/>
      </c>
      <c r="F66" t="str" cm="1">
        <f t="array" ref="F66">IF(IFERROR(MAX(_xlfn._xlws.FILTER(Tabla1[[#Data],[Humidade]],Tabla1[[ID]:[ID]]=$A66,0)),"")=0,"",IFERROR(MAX(_xlfn._xlws.FILTER(Tabla1[[#Data],[Humidade]],Tabla1[[ID]:[ID]]=$A66,0)),""))</f>
        <v/>
      </c>
      <c r="G66" t="str" cm="1">
        <f t="array" ref="G66">IF(IFERROR(MIN(_xlfn._xlws.FILTER(Tabla1[[#Data],[Humidade]],Tabla1[[ID]:[ID]]=$A66,0)),"")=0,"",IFERROR(MIN(_xlfn._xlws.FILTER(Tabla1[[#Data],[Humidade]],Tabla1[[ID]:[ID]]=$A66,0)),""))</f>
        <v/>
      </c>
      <c r="H66" t="str" cm="1">
        <f t="array" ref="H66">IFERROR(AVERAGE(_xlfn._xlws.FILTER(Tabla1[[#Data],[AcX]],Tabla1[[ID]:[ID]]=$A66,0)),"")</f>
        <v/>
      </c>
      <c r="I66" t="str" cm="1">
        <f t="array" ref="I66">IF(IFERROR(MAX(_xlfn._xlws.FILTER(Tabla1[[#Data],[AcX]],Tabla1[[ID]:[ID]]=$A66,0)),"")=0,"",IFERROR(MAX(_xlfn._xlws.FILTER(Tabla1[[#Data],[AcX]],Tabla1[[ID]:[ID]]=$A66,0)),""))</f>
        <v/>
      </c>
      <c r="J66" t="str" cm="1">
        <f t="array" ref="J66">IF(IFERROR(MIN(_xlfn._xlws.FILTER(Tabla1[[#Data],[AcX]],Tabla1[[ID]:[ID]]=$A66,0)),"")=0,"",IFERROR(MIN(_xlfn._xlws.FILTER(Tabla1[[#Data],[AcX]],Tabla1[[ID]:[ID]]=$A66,0)),""))</f>
        <v/>
      </c>
      <c r="K66" t="str" cm="1">
        <f t="array" ref="K66">IFERROR(AVERAGE(_xlfn._xlws.FILTER(Tabla1[[#Data],[AcY]],Tabla1[[ID]:[ID]]=$A66,0)),"")</f>
        <v/>
      </c>
      <c r="L66" t="str" cm="1">
        <f t="array" ref="L66">IF(IFERROR(MAX(_xlfn._xlws.FILTER(Tabla1[[#Data],[AcY]],Tabla1[[ID]:[ID]]=$A66,0)),"")=0,"",IFERROR(MAX(_xlfn._xlws.FILTER(Tabla1[[#Data],[AcY]],Tabla1[[ID]:[ID]]=$A66,0)),""))</f>
        <v/>
      </c>
      <c r="M66" t="str" cm="1">
        <f t="array" ref="M66">IF(IFERROR(MIN(_xlfn._xlws.FILTER(Tabla1[[#Data],[AcY]],Tabla1[[ID]:[ID]]=$A66,0)),"")=0,"",IFERROR(MIN(_xlfn._xlws.FILTER(Tabla1[[#Data],[AcY]],Tabla1[[ID]:[ID]]=$A66,0)),""))</f>
        <v/>
      </c>
      <c r="N66" t="str" cm="1">
        <f t="array" ref="N66">IFERROR(AVERAGE(_xlfn._xlws.FILTER(Tabla1[[#Data],[AcZ]],Tabla1[[ID]:[ID]]=$A66,0)),"")</f>
        <v/>
      </c>
      <c r="O66" t="str" cm="1">
        <f t="array" ref="O66">IF(IFERROR(MAX(_xlfn._xlws.FILTER(Tabla1[[#Data],[AcZ]],Tabla1[[ID]:[ID]]=$A66,0)),"")=0,"",IFERROR(MAX(_xlfn._xlws.FILTER(Tabla1[[#Data],[AcZ]],Tabla1[[ID]:[ID]]=$A66,0)),""))</f>
        <v/>
      </c>
      <c r="P66" t="str" cm="1">
        <f t="array" ref="P66">IF(IFERROR(MIN(_xlfn._xlws.FILTER(Tabla1[[#Data],[AcZ]],Tabla1[[ID]:[ID]]=$A66,0)),"")=0,"",IFERROR(MIN(_xlfn._xlws.FILTER(Tabla1[[#Data],[AcZ]],Tabla1[[ID]:[ID]]=$A66,0)),""))</f>
        <v/>
      </c>
      <c r="Q66" t="str" cm="1">
        <f t="array" ref="Q66">IFERROR(AVERAGE(_xlfn._xlws.FILTER(Tabla1[[#Data],[GyX]],Tabla1[[ID]:[ID]]=$A66,0)),"")</f>
        <v/>
      </c>
      <c r="R66" t="str" cm="1">
        <f t="array" ref="R66">IF(IFERROR(MAX(_xlfn._xlws.FILTER(Tabla1[[#Data],[GyX]],Tabla1[[ID]:[ID]]=$A66,0)),"")=0,"",IFERROR(MAX(_xlfn._xlws.FILTER(Tabla1[[#Data],[GyX]],Tabla1[[ID]:[ID]]=$A66,0)),""))</f>
        <v/>
      </c>
      <c r="S66" t="str" cm="1">
        <f t="array" ref="S66">IF(IFERROR(MIN(_xlfn._xlws.FILTER(Tabla1[[#Data],[GyX]],Tabla1[[ID]:[ID]]=$A66,0)),"")=0,"",IFERROR(MIN(_xlfn._xlws.FILTER(Tabla1[[#Data],[GyX]],Tabla1[[ID]:[ID]]=$A66,0)),""))</f>
        <v/>
      </c>
      <c r="T66" t="str" cm="1">
        <f t="array" ref="T66">IFERROR(AVERAGE(_xlfn._xlws.FILTER(Tabla1[[#Data],[GyY]],Tabla1[[ID]:[ID]]=$A66,0)),"")</f>
        <v/>
      </c>
      <c r="U66" t="str" cm="1">
        <f t="array" ref="U66">IF(IFERROR(MAX(_xlfn._xlws.FILTER(Tabla1[[#Data],[GyY]],Tabla1[[ID]:[ID]]=$A66,0)),"")=0,"",IFERROR(MAX(_xlfn._xlws.FILTER(Tabla1[[#Data],[GyY]],Tabla1[[ID]:[ID]]=$A66,0)),""))</f>
        <v/>
      </c>
      <c r="V66" t="str" cm="1">
        <f t="array" ref="V66">IF(IFERROR(MIN(_xlfn._xlws.FILTER(Tabla1[[#Data],[GyY]],Tabla1[[ID]:[ID]]=$A66,0)),"")=0,"",IFERROR(MIN(_xlfn._xlws.FILTER(Tabla1[[#Data],[GyY]],Tabla1[[ID]:[ID]]=$A66,0)),""))</f>
        <v/>
      </c>
      <c r="W66" t="str" cm="1">
        <f t="array" ref="W66">IFERROR(AVERAGE(_xlfn._xlws.FILTER(Tabla1[[#Data],[GyZ]],Tabla1[[ID]:[ID]]=$A66,0)),"")</f>
        <v/>
      </c>
      <c r="X66" t="str" cm="1">
        <f t="array" ref="X66">IF(IFERROR(MAX(_xlfn._xlws.FILTER(Tabla1[[#Data],[GyZ]],Tabla1[[ID]:[ID]]=$A66,0)),"")=0,"",IFERROR(MAX(_xlfn._xlws.FILTER(Tabla1[[#Data],[GyZ]],Tabla1[[ID]:[ID]]=$A66,0)),""))</f>
        <v/>
      </c>
      <c r="Y66" t="str" cm="1">
        <f t="array" ref="Y66">IF(IFERROR(MIN(_xlfn._xlws.FILTER(Tabla1[[#Data],[GyZ]],Tabla1[[ID]:[ID]]=$A66,0)),"")=0,"",IFERROR(MIN(_xlfn._xlws.FILTER(Tabla1[[#Data],[GyZ]],Tabla1[[ID]:[ID]]=$A66,0)),""))</f>
        <v/>
      </c>
      <c r="Z66" t="str" cm="1">
        <f t="array" ref="Z66">IF(ISNUMBER(A66),IF(ISNUMBER(MATCH(1,_xlfn._xlws.FILTER(Tabla1[[#Data],[Open]],Tabla1[[ID]:[ID]]=$A66,""))),1,0),"")</f>
        <v/>
      </c>
      <c r="AA66" t="str">
        <f t="shared" si="0"/>
        <v/>
      </c>
      <c r="AB66" t="str">
        <f t="shared" si="1"/>
        <v/>
      </c>
      <c r="AC66" t="str">
        <f t="shared" si="2"/>
        <v/>
      </c>
      <c r="AD66" t="str">
        <f t="shared" si="3"/>
        <v/>
      </c>
      <c r="AE66" t="str">
        <f t="shared" si="4"/>
        <v/>
      </c>
      <c r="AF66" t="str">
        <f t="shared" si="5"/>
        <v/>
      </c>
      <c r="AG66" t="str">
        <f t="shared" si="6"/>
        <v/>
      </c>
      <c r="AH66" t="str">
        <f t="shared" si="7"/>
        <v/>
      </c>
      <c r="AI66" t="str">
        <f t="shared" si="8"/>
        <v/>
      </c>
      <c r="AJ66" t="str">
        <f t="shared" si="9"/>
        <v/>
      </c>
    </row>
    <row r="67" spans="2:36" x14ac:dyDescent="0.35">
      <c r="B67" t="str" cm="1">
        <f t="array" ref="B67">IFERROR(AVERAGE(_xlfn._xlws.FILTER(Tabla1[[#Data],[Temperatura]],Tabla1[[ID]:[ID]]=$A67,0)),"")</f>
        <v/>
      </c>
      <c r="C67" t="str" cm="1">
        <f t="array" ref="C67">IF(IFERROR(MAX(_xlfn._xlws.FILTER(Tabla1[[#Data],[Temperatura]],Tabla1[[ID]:[ID]]=$A67,0)),"")=0,"",IFERROR(MAX(_xlfn._xlws.FILTER(Tabla1[[#Data],[Temperatura]],Tabla1[[ID]:[ID]]=$A67,0)),""))</f>
        <v/>
      </c>
      <c r="D67" t="str" cm="1">
        <f t="array" ref="D67">IF(IFERROR(MIN(_xlfn._xlws.FILTER(Tabla1[[#Data],[Temperatura]],Tabla1[[ID]:[ID]]=$A67,0)),"")=0,"",IFERROR(MIN(_xlfn._xlws.FILTER(Tabla1[[#Data],[Temperatura]],Tabla1[[ID]:[ID]]=$A67,0)),""))</f>
        <v/>
      </c>
      <c r="E67" t="str" cm="1">
        <f t="array" ref="E67">IFERROR(AVERAGE(_xlfn._xlws.FILTER(Tabla1[[#Data],[Humidade]],Tabla1[[ID]:[ID]]=$A67,0)),"")</f>
        <v/>
      </c>
      <c r="F67" t="str" cm="1">
        <f t="array" ref="F67">IF(IFERROR(MAX(_xlfn._xlws.FILTER(Tabla1[[#Data],[Humidade]],Tabla1[[ID]:[ID]]=$A67,0)),"")=0,"",IFERROR(MAX(_xlfn._xlws.FILTER(Tabla1[[#Data],[Humidade]],Tabla1[[ID]:[ID]]=$A67,0)),""))</f>
        <v/>
      </c>
      <c r="G67" t="str" cm="1">
        <f t="array" ref="G67">IF(IFERROR(MIN(_xlfn._xlws.FILTER(Tabla1[[#Data],[Humidade]],Tabla1[[ID]:[ID]]=$A67,0)),"")=0,"",IFERROR(MIN(_xlfn._xlws.FILTER(Tabla1[[#Data],[Humidade]],Tabla1[[ID]:[ID]]=$A67,0)),""))</f>
        <v/>
      </c>
      <c r="H67" t="str" cm="1">
        <f t="array" ref="H67">IFERROR(AVERAGE(_xlfn._xlws.FILTER(Tabla1[[#Data],[AcX]],Tabla1[[ID]:[ID]]=$A67,0)),"")</f>
        <v/>
      </c>
      <c r="I67" t="str" cm="1">
        <f t="array" ref="I67">IF(IFERROR(MAX(_xlfn._xlws.FILTER(Tabla1[[#Data],[AcX]],Tabla1[[ID]:[ID]]=$A67,0)),"")=0,"",IFERROR(MAX(_xlfn._xlws.FILTER(Tabla1[[#Data],[AcX]],Tabla1[[ID]:[ID]]=$A67,0)),""))</f>
        <v/>
      </c>
      <c r="J67" t="str" cm="1">
        <f t="array" ref="J67">IF(IFERROR(MIN(_xlfn._xlws.FILTER(Tabla1[[#Data],[AcX]],Tabla1[[ID]:[ID]]=$A67,0)),"")=0,"",IFERROR(MIN(_xlfn._xlws.FILTER(Tabla1[[#Data],[AcX]],Tabla1[[ID]:[ID]]=$A67,0)),""))</f>
        <v/>
      </c>
      <c r="K67" t="str" cm="1">
        <f t="array" ref="K67">IFERROR(AVERAGE(_xlfn._xlws.FILTER(Tabla1[[#Data],[AcY]],Tabla1[[ID]:[ID]]=$A67,0)),"")</f>
        <v/>
      </c>
      <c r="L67" t="str" cm="1">
        <f t="array" ref="L67">IF(IFERROR(MAX(_xlfn._xlws.FILTER(Tabla1[[#Data],[AcY]],Tabla1[[ID]:[ID]]=$A67,0)),"")=0,"",IFERROR(MAX(_xlfn._xlws.FILTER(Tabla1[[#Data],[AcY]],Tabla1[[ID]:[ID]]=$A67,0)),""))</f>
        <v/>
      </c>
      <c r="M67" t="str" cm="1">
        <f t="array" ref="M67">IF(IFERROR(MIN(_xlfn._xlws.FILTER(Tabla1[[#Data],[AcY]],Tabla1[[ID]:[ID]]=$A67,0)),"")=0,"",IFERROR(MIN(_xlfn._xlws.FILTER(Tabla1[[#Data],[AcY]],Tabla1[[ID]:[ID]]=$A67,0)),""))</f>
        <v/>
      </c>
      <c r="N67" t="str" cm="1">
        <f t="array" ref="N67">IFERROR(AVERAGE(_xlfn._xlws.FILTER(Tabla1[[#Data],[AcZ]],Tabla1[[ID]:[ID]]=$A67,0)),"")</f>
        <v/>
      </c>
      <c r="O67" t="str" cm="1">
        <f t="array" ref="O67">IF(IFERROR(MAX(_xlfn._xlws.FILTER(Tabla1[[#Data],[AcZ]],Tabla1[[ID]:[ID]]=$A67,0)),"")=0,"",IFERROR(MAX(_xlfn._xlws.FILTER(Tabla1[[#Data],[AcZ]],Tabla1[[ID]:[ID]]=$A67,0)),""))</f>
        <v/>
      </c>
      <c r="P67" t="str" cm="1">
        <f t="array" ref="P67">IF(IFERROR(MIN(_xlfn._xlws.FILTER(Tabla1[[#Data],[AcZ]],Tabla1[[ID]:[ID]]=$A67,0)),"")=0,"",IFERROR(MIN(_xlfn._xlws.FILTER(Tabla1[[#Data],[AcZ]],Tabla1[[ID]:[ID]]=$A67,0)),""))</f>
        <v/>
      </c>
      <c r="Q67" t="str" cm="1">
        <f t="array" ref="Q67">IFERROR(AVERAGE(_xlfn._xlws.FILTER(Tabla1[[#Data],[GyX]],Tabla1[[ID]:[ID]]=$A67,0)),"")</f>
        <v/>
      </c>
      <c r="R67" t="str" cm="1">
        <f t="array" ref="R67">IF(IFERROR(MAX(_xlfn._xlws.FILTER(Tabla1[[#Data],[GyX]],Tabla1[[ID]:[ID]]=$A67,0)),"")=0,"",IFERROR(MAX(_xlfn._xlws.FILTER(Tabla1[[#Data],[GyX]],Tabla1[[ID]:[ID]]=$A67,0)),""))</f>
        <v/>
      </c>
      <c r="S67" t="str" cm="1">
        <f t="array" ref="S67">IF(IFERROR(MIN(_xlfn._xlws.FILTER(Tabla1[[#Data],[GyX]],Tabla1[[ID]:[ID]]=$A67,0)),"")=0,"",IFERROR(MIN(_xlfn._xlws.FILTER(Tabla1[[#Data],[GyX]],Tabla1[[ID]:[ID]]=$A67,0)),""))</f>
        <v/>
      </c>
      <c r="T67" t="str" cm="1">
        <f t="array" ref="T67">IFERROR(AVERAGE(_xlfn._xlws.FILTER(Tabla1[[#Data],[GyY]],Tabla1[[ID]:[ID]]=$A67,0)),"")</f>
        <v/>
      </c>
      <c r="U67" t="str" cm="1">
        <f t="array" ref="U67">IF(IFERROR(MAX(_xlfn._xlws.FILTER(Tabla1[[#Data],[GyY]],Tabla1[[ID]:[ID]]=$A67,0)),"")=0,"",IFERROR(MAX(_xlfn._xlws.FILTER(Tabla1[[#Data],[GyY]],Tabla1[[ID]:[ID]]=$A67,0)),""))</f>
        <v/>
      </c>
      <c r="V67" t="str" cm="1">
        <f t="array" ref="V67">IF(IFERROR(MIN(_xlfn._xlws.FILTER(Tabla1[[#Data],[GyY]],Tabla1[[ID]:[ID]]=$A67,0)),"")=0,"",IFERROR(MIN(_xlfn._xlws.FILTER(Tabla1[[#Data],[GyY]],Tabla1[[ID]:[ID]]=$A67,0)),""))</f>
        <v/>
      </c>
      <c r="W67" t="str" cm="1">
        <f t="array" ref="W67">IFERROR(AVERAGE(_xlfn._xlws.FILTER(Tabla1[[#Data],[GyZ]],Tabla1[[ID]:[ID]]=$A67,0)),"")</f>
        <v/>
      </c>
      <c r="X67" t="str" cm="1">
        <f t="array" ref="X67">IF(IFERROR(MAX(_xlfn._xlws.FILTER(Tabla1[[#Data],[GyZ]],Tabla1[[ID]:[ID]]=$A67,0)),"")=0,"",IFERROR(MAX(_xlfn._xlws.FILTER(Tabla1[[#Data],[GyZ]],Tabla1[[ID]:[ID]]=$A67,0)),""))</f>
        <v/>
      </c>
      <c r="Y67" t="str" cm="1">
        <f t="array" ref="Y67">IF(IFERROR(MIN(_xlfn._xlws.FILTER(Tabla1[[#Data],[GyZ]],Tabla1[[ID]:[ID]]=$A67,0)),"")=0,"",IFERROR(MIN(_xlfn._xlws.FILTER(Tabla1[[#Data],[GyZ]],Tabla1[[ID]:[ID]]=$A67,0)),""))</f>
        <v/>
      </c>
      <c r="Z67" t="str" cm="1">
        <f t="array" ref="Z67">IF(ISNUMBER(A67),IF(ISNUMBER(MATCH(1,_xlfn._xlws.FILTER(Tabla1[[#Data],[Open]],Tabla1[[ID]:[ID]]=$A67,""))),1,0),"")</f>
        <v/>
      </c>
      <c r="AA67" t="str">
        <f t="shared" ref="AA67:AA100" si="10">IF(ISNUMBER($A67),IF(AND(AB67:AJ67),1,0),"")</f>
        <v/>
      </c>
      <c r="AB67" t="str">
        <f t="shared" ref="AB67:AB100" si="11">IF(ISNUMBER($A67),IF(OR(C67&gt;=AN$2,D67&lt;=AN$3),0,1),"")</f>
        <v/>
      </c>
      <c r="AC67" t="str">
        <f t="shared" ref="AC67:AC100" si="12">IF(ISNUMBER($A67),IF(OR(F67&gt;=AO$2,G67&lt;=AO$3),0,1),"")</f>
        <v/>
      </c>
      <c r="AD67" t="str">
        <f t="shared" ref="AD67:AD100" si="13">IF(ISNUMBER($A67),IF(OR(I67&gt;=AP$2,J67&lt;=AP$3),0,1),"")</f>
        <v/>
      </c>
      <c r="AE67" t="str">
        <f t="shared" ref="AE67:AE100" si="14">IF(ISNUMBER($A67),IF(OR(L67&gt;=AQ$2,M67&lt;=AQ$3),0,1),"")</f>
        <v/>
      </c>
      <c r="AF67" t="str">
        <f t="shared" ref="AF67:AF100" si="15">IF(ISNUMBER($A67),IF(OR(O67&gt;=AR$2,P67&lt;=AR$3),0,1),"")</f>
        <v/>
      </c>
      <c r="AG67" t="str">
        <f t="shared" ref="AG67:AG100" si="16">IF(ISNUMBER($A67),IF(OR(R67&gt;=AS$2,S67&lt;=AS$3),0,1),"")</f>
        <v/>
      </c>
      <c r="AH67" t="str">
        <f t="shared" ref="AH67:AH100" si="17">IF(ISNUMBER($A67),IF(OR(U67&gt;=AT$2,V67&lt;=AT$3),0,1),"")</f>
        <v/>
      </c>
      <c r="AI67" t="str">
        <f t="shared" ref="AI67:AI100" si="18">IF(ISNUMBER($A67),IF(OR(X67&gt;=AU$2,Y67&lt;=AU$3),0,1),"")</f>
        <v/>
      </c>
      <c r="AJ67" t="str">
        <f t="shared" ref="AJ67:AJ100" si="19">IF(ISNUMBER($A67),IF(Z67=1,0,1),"")</f>
        <v/>
      </c>
    </row>
    <row r="68" spans="2:36" x14ac:dyDescent="0.35">
      <c r="B68" t="str" cm="1">
        <f t="array" ref="B68">IFERROR(AVERAGE(_xlfn._xlws.FILTER(Tabla1[[#Data],[Temperatura]],Tabla1[[ID]:[ID]]=$A68,0)),"")</f>
        <v/>
      </c>
      <c r="C68" t="str" cm="1">
        <f t="array" ref="C68">IF(IFERROR(MAX(_xlfn._xlws.FILTER(Tabla1[[#Data],[Temperatura]],Tabla1[[ID]:[ID]]=$A68,0)),"")=0,"",IFERROR(MAX(_xlfn._xlws.FILTER(Tabla1[[#Data],[Temperatura]],Tabla1[[ID]:[ID]]=$A68,0)),""))</f>
        <v/>
      </c>
      <c r="D68" t="str" cm="1">
        <f t="array" ref="D68">IF(IFERROR(MIN(_xlfn._xlws.FILTER(Tabla1[[#Data],[Temperatura]],Tabla1[[ID]:[ID]]=$A68,0)),"")=0,"",IFERROR(MIN(_xlfn._xlws.FILTER(Tabla1[[#Data],[Temperatura]],Tabla1[[ID]:[ID]]=$A68,0)),""))</f>
        <v/>
      </c>
      <c r="E68" t="str" cm="1">
        <f t="array" ref="E68">IFERROR(AVERAGE(_xlfn._xlws.FILTER(Tabla1[[#Data],[Humidade]],Tabla1[[ID]:[ID]]=$A68,0)),"")</f>
        <v/>
      </c>
      <c r="F68" t="str" cm="1">
        <f t="array" ref="F68">IF(IFERROR(MAX(_xlfn._xlws.FILTER(Tabla1[[#Data],[Humidade]],Tabla1[[ID]:[ID]]=$A68,0)),"")=0,"",IFERROR(MAX(_xlfn._xlws.FILTER(Tabla1[[#Data],[Humidade]],Tabla1[[ID]:[ID]]=$A68,0)),""))</f>
        <v/>
      </c>
      <c r="G68" t="str" cm="1">
        <f t="array" ref="G68">IF(IFERROR(MIN(_xlfn._xlws.FILTER(Tabla1[[#Data],[Humidade]],Tabla1[[ID]:[ID]]=$A68,0)),"")=0,"",IFERROR(MIN(_xlfn._xlws.FILTER(Tabla1[[#Data],[Humidade]],Tabla1[[ID]:[ID]]=$A68,0)),""))</f>
        <v/>
      </c>
      <c r="H68" t="str" cm="1">
        <f t="array" ref="H68">IFERROR(AVERAGE(_xlfn._xlws.FILTER(Tabla1[[#Data],[AcX]],Tabla1[[ID]:[ID]]=$A68,0)),"")</f>
        <v/>
      </c>
      <c r="I68" t="str" cm="1">
        <f t="array" ref="I68">IF(IFERROR(MAX(_xlfn._xlws.FILTER(Tabla1[[#Data],[AcX]],Tabla1[[ID]:[ID]]=$A68,0)),"")=0,"",IFERROR(MAX(_xlfn._xlws.FILTER(Tabla1[[#Data],[AcX]],Tabla1[[ID]:[ID]]=$A68,0)),""))</f>
        <v/>
      </c>
      <c r="J68" t="str" cm="1">
        <f t="array" ref="J68">IF(IFERROR(MIN(_xlfn._xlws.FILTER(Tabla1[[#Data],[AcX]],Tabla1[[ID]:[ID]]=$A68,0)),"")=0,"",IFERROR(MIN(_xlfn._xlws.FILTER(Tabla1[[#Data],[AcX]],Tabla1[[ID]:[ID]]=$A68,0)),""))</f>
        <v/>
      </c>
      <c r="K68" t="str" cm="1">
        <f t="array" ref="K68">IFERROR(AVERAGE(_xlfn._xlws.FILTER(Tabla1[[#Data],[AcY]],Tabla1[[ID]:[ID]]=$A68,0)),"")</f>
        <v/>
      </c>
      <c r="L68" t="str" cm="1">
        <f t="array" ref="L68">IF(IFERROR(MAX(_xlfn._xlws.FILTER(Tabla1[[#Data],[AcY]],Tabla1[[ID]:[ID]]=$A68,0)),"")=0,"",IFERROR(MAX(_xlfn._xlws.FILTER(Tabla1[[#Data],[AcY]],Tabla1[[ID]:[ID]]=$A68,0)),""))</f>
        <v/>
      </c>
      <c r="M68" t="str" cm="1">
        <f t="array" ref="M68">IF(IFERROR(MIN(_xlfn._xlws.FILTER(Tabla1[[#Data],[AcY]],Tabla1[[ID]:[ID]]=$A68,0)),"")=0,"",IFERROR(MIN(_xlfn._xlws.FILTER(Tabla1[[#Data],[AcY]],Tabla1[[ID]:[ID]]=$A68,0)),""))</f>
        <v/>
      </c>
      <c r="N68" t="str" cm="1">
        <f t="array" ref="N68">IFERROR(AVERAGE(_xlfn._xlws.FILTER(Tabla1[[#Data],[AcZ]],Tabla1[[ID]:[ID]]=$A68,0)),"")</f>
        <v/>
      </c>
      <c r="O68" t="str" cm="1">
        <f t="array" ref="O68">IF(IFERROR(MAX(_xlfn._xlws.FILTER(Tabla1[[#Data],[AcZ]],Tabla1[[ID]:[ID]]=$A68,0)),"")=0,"",IFERROR(MAX(_xlfn._xlws.FILTER(Tabla1[[#Data],[AcZ]],Tabla1[[ID]:[ID]]=$A68,0)),""))</f>
        <v/>
      </c>
      <c r="P68" t="str" cm="1">
        <f t="array" ref="P68">IF(IFERROR(MIN(_xlfn._xlws.FILTER(Tabla1[[#Data],[AcZ]],Tabla1[[ID]:[ID]]=$A68,0)),"")=0,"",IFERROR(MIN(_xlfn._xlws.FILTER(Tabla1[[#Data],[AcZ]],Tabla1[[ID]:[ID]]=$A68,0)),""))</f>
        <v/>
      </c>
      <c r="Q68" t="str" cm="1">
        <f t="array" ref="Q68">IFERROR(AVERAGE(_xlfn._xlws.FILTER(Tabla1[[#Data],[GyX]],Tabla1[[ID]:[ID]]=$A68,0)),"")</f>
        <v/>
      </c>
      <c r="R68" t="str" cm="1">
        <f t="array" ref="R68">IF(IFERROR(MAX(_xlfn._xlws.FILTER(Tabla1[[#Data],[GyX]],Tabla1[[ID]:[ID]]=$A68,0)),"")=0,"",IFERROR(MAX(_xlfn._xlws.FILTER(Tabla1[[#Data],[GyX]],Tabla1[[ID]:[ID]]=$A68,0)),""))</f>
        <v/>
      </c>
      <c r="S68" t="str" cm="1">
        <f t="array" ref="S68">IF(IFERROR(MIN(_xlfn._xlws.FILTER(Tabla1[[#Data],[GyX]],Tabla1[[ID]:[ID]]=$A68,0)),"")=0,"",IFERROR(MIN(_xlfn._xlws.FILTER(Tabla1[[#Data],[GyX]],Tabla1[[ID]:[ID]]=$A68,0)),""))</f>
        <v/>
      </c>
      <c r="T68" t="str" cm="1">
        <f t="array" ref="T68">IFERROR(AVERAGE(_xlfn._xlws.FILTER(Tabla1[[#Data],[GyY]],Tabla1[[ID]:[ID]]=$A68,0)),"")</f>
        <v/>
      </c>
      <c r="U68" t="str" cm="1">
        <f t="array" ref="U68">IF(IFERROR(MAX(_xlfn._xlws.FILTER(Tabla1[[#Data],[GyY]],Tabla1[[ID]:[ID]]=$A68,0)),"")=0,"",IFERROR(MAX(_xlfn._xlws.FILTER(Tabla1[[#Data],[GyY]],Tabla1[[ID]:[ID]]=$A68,0)),""))</f>
        <v/>
      </c>
      <c r="V68" t="str" cm="1">
        <f t="array" ref="V68">IF(IFERROR(MIN(_xlfn._xlws.FILTER(Tabla1[[#Data],[GyY]],Tabla1[[ID]:[ID]]=$A68,0)),"")=0,"",IFERROR(MIN(_xlfn._xlws.FILTER(Tabla1[[#Data],[GyY]],Tabla1[[ID]:[ID]]=$A68,0)),""))</f>
        <v/>
      </c>
      <c r="W68" t="str" cm="1">
        <f t="array" ref="W68">IFERROR(AVERAGE(_xlfn._xlws.FILTER(Tabla1[[#Data],[GyZ]],Tabla1[[ID]:[ID]]=$A68,0)),"")</f>
        <v/>
      </c>
      <c r="X68" t="str" cm="1">
        <f t="array" ref="X68">IF(IFERROR(MAX(_xlfn._xlws.FILTER(Tabla1[[#Data],[GyZ]],Tabla1[[ID]:[ID]]=$A68,0)),"")=0,"",IFERROR(MAX(_xlfn._xlws.FILTER(Tabla1[[#Data],[GyZ]],Tabla1[[ID]:[ID]]=$A68,0)),""))</f>
        <v/>
      </c>
      <c r="Y68" t="str" cm="1">
        <f t="array" ref="Y68">IF(IFERROR(MIN(_xlfn._xlws.FILTER(Tabla1[[#Data],[GyZ]],Tabla1[[ID]:[ID]]=$A68,0)),"")=0,"",IFERROR(MIN(_xlfn._xlws.FILTER(Tabla1[[#Data],[GyZ]],Tabla1[[ID]:[ID]]=$A68,0)),""))</f>
        <v/>
      </c>
      <c r="Z68" t="str" cm="1">
        <f t="array" ref="Z68">IF(ISNUMBER(A68),IF(ISNUMBER(MATCH(1,_xlfn._xlws.FILTER(Tabla1[[#Data],[Open]],Tabla1[[ID]:[ID]]=$A68,""))),1,0),"")</f>
        <v/>
      </c>
      <c r="AA68" t="str">
        <f t="shared" si="10"/>
        <v/>
      </c>
      <c r="AB68" t="str">
        <f t="shared" si="11"/>
        <v/>
      </c>
      <c r="AC68" t="str">
        <f t="shared" si="12"/>
        <v/>
      </c>
      <c r="AD68" t="str">
        <f t="shared" si="13"/>
        <v/>
      </c>
      <c r="AE68" t="str">
        <f t="shared" si="14"/>
        <v/>
      </c>
      <c r="AF68" t="str">
        <f t="shared" si="15"/>
        <v/>
      </c>
      <c r="AG68" t="str">
        <f t="shared" si="16"/>
        <v/>
      </c>
      <c r="AH68" t="str">
        <f t="shared" si="17"/>
        <v/>
      </c>
      <c r="AI68" t="str">
        <f t="shared" si="18"/>
        <v/>
      </c>
      <c r="AJ68" t="str">
        <f t="shared" si="19"/>
        <v/>
      </c>
    </row>
    <row r="69" spans="2:36" x14ac:dyDescent="0.35">
      <c r="B69" t="str" cm="1">
        <f t="array" ref="B69">IFERROR(AVERAGE(_xlfn._xlws.FILTER(Tabla1[[#Data],[Temperatura]],Tabla1[[ID]:[ID]]=$A69,0)),"")</f>
        <v/>
      </c>
      <c r="C69" t="str" cm="1">
        <f t="array" ref="C69">IF(IFERROR(MAX(_xlfn._xlws.FILTER(Tabla1[[#Data],[Temperatura]],Tabla1[[ID]:[ID]]=$A69,0)),"")=0,"",IFERROR(MAX(_xlfn._xlws.FILTER(Tabla1[[#Data],[Temperatura]],Tabla1[[ID]:[ID]]=$A69,0)),""))</f>
        <v/>
      </c>
      <c r="D69" t="str" cm="1">
        <f t="array" ref="D69">IF(IFERROR(MIN(_xlfn._xlws.FILTER(Tabla1[[#Data],[Temperatura]],Tabla1[[ID]:[ID]]=$A69,0)),"")=0,"",IFERROR(MIN(_xlfn._xlws.FILTER(Tabla1[[#Data],[Temperatura]],Tabla1[[ID]:[ID]]=$A69,0)),""))</f>
        <v/>
      </c>
      <c r="E69" t="str" cm="1">
        <f t="array" ref="E69">IFERROR(AVERAGE(_xlfn._xlws.FILTER(Tabla1[[#Data],[Humidade]],Tabla1[[ID]:[ID]]=$A69,0)),"")</f>
        <v/>
      </c>
      <c r="F69" t="str" cm="1">
        <f t="array" ref="F69">IF(IFERROR(MAX(_xlfn._xlws.FILTER(Tabla1[[#Data],[Humidade]],Tabla1[[ID]:[ID]]=$A69,0)),"")=0,"",IFERROR(MAX(_xlfn._xlws.FILTER(Tabla1[[#Data],[Humidade]],Tabla1[[ID]:[ID]]=$A69,0)),""))</f>
        <v/>
      </c>
      <c r="G69" t="str" cm="1">
        <f t="array" ref="G69">IF(IFERROR(MIN(_xlfn._xlws.FILTER(Tabla1[[#Data],[Humidade]],Tabla1[[ID]:[ID]]=$A69,0)),"")=0,"",IFERROR(MIN(_xlfn._xlws.FILTER(Tabla1[[#Data],[Humidade]],Tabla1[[ID]:[ID]]=$A69,0)),""))</f>
        <v/>
      </c>
      <c r="H69" t="str" cm="1">
        <f t="array" ref="H69">IFERROR(AVERAGE(_xlfn._xlws.FILTER(Tabla1[[#Data],[AcX]],Tabla1[[ID]:[ID]]=$A69,0)),"")</f>
        <v/>
      </c>
      <c r="I69" t="str" cm="1">
        <f t="array" ref="I69">IF(IFERROR(MAX(_xlfn._xlws.FILTER(Tabla1[[#Data],[AcX]],Tabla1[[ID]:[ID]]=$A69,0)),"")=0,"",IFERROR(MAX(_xlfn._xlws.FILTER(Tabla1[[#Data],[AcX]],Tabla1[[ID]:[ID]]=$A69,0)),""))</f>
        <v/>
      </c>
      <c r="J69" t="str" cm="1">
        <f t="array" ref="J69">IF(IFERROR(MIN(_xlfn._xlws.FILTER(Tabla1[[#Data],[AcX]],Tabla1[[ID]:[ID]]=$A69,0)),"")=0,"",IFERROR(MIN(_xlfn._xlws.FILTER(Tabla1[[#Data],[AcX]],Tabla1[[ID]:[ID]]=$A69,0)),""))</f>
        <v/>
      </c>
      <c r="K69" t="str" cm="1">
        <f t="array" ref="K69">IFERROR(AVERAGE(_xlfn._xlws.FILTER(Tabla1[[#Data],[AcY]],Tabla1[[ID]:[ID]]=$A69,0)),"")</f>
        <v/>
      </c>
      <c r="L69" t="str" cm="1">
        <f t="array" ref="L69">IF(IFERROR(MAX(_xlfn._xlws.FILTER(Tabla1[[#Data],[AcY]],Tabla1[[ID]:[ID]]=$A69,0)),"")=0,"",IFERROR(MAX(_xlfn._xlws.FILTER(Tabla1[[#Data],[AcY]],Tabla1[[ID]:[ID]]=$A69,0)),""))</f>
        <v/>
      </c>
      <c r="M69" t="str" cm="1">
        <f t="array" ref="M69">IF(IFERROR(MIN(_xlfn._xlws.FILTER(Tabla1[[#Data],[AcY]],Tabla1[[ID]:[ID]]=$A69,0)),"")=0,"",IFERROR(MIN(_xlfn._xlws.FILTER(Tabla1[[#Data],[AcY]],Tabla1[[ID]:[ID]]=$A69,0)),""))</f>
        <v/>
      </c>
      <c r="N69" t="str" cm="1">
        <f t="array" ref="N69">IFERROR(AVERAGE(_xlfn._xlws.FILTER(Tabla1[[#Data],[AcZ]],Tabla1[[ID]:[ID]]=$A69,0)),"")</f>
        <v/>
      </c>
      <c r="O69" t="str" cm="1">
        <f t="array" ref="O69">IF(IFERROR(MAX(_xlfn._xlws.FILTER(Tabla1[[#Data],[AcZ]],Tabla1[[ID]:[ID]]=$A69,0)),"")=0,"",IFERROR(MAX(_xlfn._xlws.FILTER(Tabla1[[#Data],[AcZ]],Tabla1[[ID]:[ID]]=$A69,0)),""))</f>
        <v/>
      </c>
      <c r="P69" t="str" cm="1">
        <f t="array" ref="P69">IF(IFERROR(MIN(_xlfn._xlws.FILTER(Tabla1[[#Data],[AcZ]],Tabla1[[ID]:[ID]]=$A69,0)),"")=0,"",IFERROR(MIN(_xlfn._xlws.FILTER(Tabla1[[#Data],[AcZ]],Tabla1[[ID]:[ID]]=$A69,0)),""))</f>
        <v/>
      </c>
      <c r="Q69" t="str" cm="1">
        <f t="array" ref="Q69">IFERROR(AVERAGE(_xlfn._xlws.FILTER(Tabla1[[#Data],[GyX]],Tabla1[[ID]:[ID]]=$A69,0)),"")</f>
        <v/>
      </c>
      <c r="R69" t="str" cm="1">
        <f t="array" ref="R69">IF(IFERROR(MAX(_xlfn._xlws.FILTER(Tabla1[[#Data],[GyX]],Tabla1[[ID]:[ID]]=$A69,0)),"")=0,"",IFERROR(MAX(_xlfn._xlws.FILTER(Tabla1[[#Data],[GyX]],Tabla1[[ID]:[ID]]=$A69,0)),""))</f>
        <v/>
      </c>
      <c r="S69" t="str" cm="1">
        <f t="array" ref="S69">IF(IFERROR(MIN(_xlfn._xlws.FILTER(Tabla1[[#Data],[GyX]],Tabla1[[ID]:[ID]]=$A69,0)),"")=0,"",IFERROR(MIN(_xlfn._xlws.FILTER(Tabla1[[#Data],[GyX]],Tabla1[[ID]:[ID]]=$A69,0)),""))</f>
        <v/>
      </c>
      <c r="T69" t="str" cm="1">
        <f t="array" ref="T69">IFERROR(AVERAGE(_xlfn._xlws.FILTER(Tabla1[[#Data],[GyY]],Tabla1[[ID]:[ID]]=$A69,0)),"")</f>
        <v/>
      </c>
      <c r="U69" t="str" cm="1">
        <f t="array" ref="U69">IF(IFERROR(MAX(_xlfn._xlws.FILTER(Tabla1[[#Data],[GyY]],Tabla1[[ID]:[ID]]=$A69,0)),"")=0,"",IFERROR(MAX(_xlfn._xlws.FILTER(Tabla1[[#Data],[GyY]],Tabla1[[ID]:[ID]]=$A69,0)),""))</f>
        <v/>
      </c>
      <c r="V69" t="str" cm="1">
        <f t="array" ref="V69">IF(IFERROR(MIN(_xlfn._xlws.FILTER(Tabla1[[#Data],[GyY]],Tabla1[[ID]:[ID]]=$A69,0)),"")=0,"",IFERROR(MIN(_xlfn._xlws.FILTER(Tabla1[[#Data],[GyY]],Tabla1[[ID]:[ID]]=$A69,0)),""))</f>
        <v/>
      </c>
      <c r="W69" t="str" cm="1">
        <f t="array" ref="W69">IFERROR(AVERAGE(_xlfn._xlws.FILTER(Tabla1[[#Data],[GyZ]],Tabla1[[ID]:[ID]]=$A69,0)),"")</f>
        <v/>
      </c>
      <c r="X69" t="str" cm="1">
        <f t="array" ref="X69">IF(IFERROR(MAX(_xlfn._xlws.FILTER(Tabla1[[#Data],[GyZ]],Tabla1[[ID]:[ID]]=$A69,0)),"")=0,"",IFERROR(MAX(_xlfn._xlws.FILTER(Tabla1[[#Data],[GyZ]],Tabla1[[ID]:[ID]]=$A69,0)),""))</f>
        <v/>
      </c>
      <c r="Y69" t="str" cm="1">
        <f t="array" ref="Y69">IF(IFERROR(MIN(_xlfn._xlws.FILTER(Tabla1[[#Data],[GyZ]],Tabla1[[ID]:[ID]]=$A69,0)),"")=0,"",IFERROR(MIN(_xlfn._xlws.FILTER(Tabla1[[#Data],[GyZ]],Tabla1[[ID]:[ID]]=$A69,0)),""))</f>
        <v/>
      </c>
      <c r="Z69" t="str" cm="1">
        <f t="array" ref="Z69">IF(ISNUMBER(A69),IF(ISNUMBER(MATCH(1,_xlfn._xlws.FILTER(Tabla1[[#Data],[Open]],Tabla1[[ID]:[ID]]=$A69,""))),1,0),"")</f>
        <v/>
      </c>
      <c r="AA69" t="str">
        <f t="shared" si="10"/>
        <v/>
      </c>
      <c r="AB69" t="str">
        <f t="shared" si="11"/>
        <v/>
      </c>
      <c r="AC69" t="str">
        <f t="shared" si="12"/>
        <v/>
      </c>
      <c r="AD69" t="str">
        <f t="shared" si="13"/>
        <v/>
      </c>
      <c r="AE69" t="str">
        <f t="shared" si="14"/>
        <v/>
      </c>
      <c r="AF69" t="str">
        <f t="shared" si="15"/>
        <v/>
      </c>
      <c r="AG69" t="str">
        <f t="shared" si="16"/>
        <v/>
      </c>
      <c r="AH69" t="str">
        <f t="shared" si="17"/>
        <v/>
      </c>
      <c r="AI69" t="str">
        <f t="shared" si="18"/>
        <v/>
      </c>
      <c r="AJ69" t="str">
        <f t="shared" si="19"/>
        <v/>
      </c>
    </row>
    <row r="70" spans="2:36" x14ac:dyDescent="0.35">
      <c r="B70" t="str" cm="1">
        <f t="array" ref="B70">IFERROR(AVERAGE(_xlfn._xlws.FILTER(Tabla1[[#Data],[Temperatura]],Tabla1[[ID]:[ID]]=$A70,0)),"")</f>
        <v/>
      </c>
      <c r="C70" t="str" cm="1">
        <f t="array" ref="C70">IF(IFERROR(MAX(_xlfn._xlws.FILTER(Tabla1[[#Data],[Temperatura]],Tabla1[[ID]:[ID]]=$A70,0)),"")=0,"",IFERROR(MAX(_xlfn._xlws.FILTER(Tabla1[[#Data],[Temperatura]],Tabla1[[ID]:[ID]]=$A70,0)),""))</f>
        <v/>
      </c>
      <c r="D70" t="str" cm="1">
        <f t="array" ref="D70">IF(IFERROR(MIN(_xlfn._xlws.FILTER(Tabla1[[#Data],[Temperatura]],Tabla1[[ID]:[ID]]=$A70,0)),"")=0,"",IFERROR(MIN(_xlfn._xlws.FILTER(Tabla1[[#Data],[Temperatura]],Tabla1[[ID]:[ID]]=$A70,0)),""))</f>
        <v/>
      </c>
      <c r="E70" t="str" cm="1">
        <f t="array" ref="E70">IFERROR(AVERAGE(_xlfn._xlws.FILTER(Tabla1[[#Data],[Humidade]],Tabla1[[ID]:[ID]]=$A70,0)),"")</f>
        <v/>
      </c>
      <c r="F70" t="str" cm="1">
        <f t="array" ref="F70">IF(IFERROR(MAX(_xlfn._xlws.FILTER(Tabla1[[#Data],[Humidade]],Tabla1[[ID]:[ID]]=$A70,0)),"")=0,"",IFERROR(MAX(_xlfn._xlws.FILTER(Tabla1[[#Data],[Humidade]],Tabla1[[ID]:[ID]]=$A70,0)),""))</f>
        <v/>
      </c>
      <c r="G70" t="str" cm="1">
        <f t="array" ref="G70">IF(IFERROR(MIN(_xlfn._xlws.FILTER(Tabla1[[#Data],[Humidade]],Tabla1[[ID]:[ID]]=$A70,0)),"")=0,"",IFERROR(MIN(_xlfn._xlws.FILTER(Tabla1[[#Data],[Humidade]],Tabla1[[ID]:[ID]]=$A70,0)),""))</f>
        <v/>
      </c>
      <c r="H70" t="str" cm="1">
        <f t="array" ref="H70">IFERROR(AVERAGE(_xlfn._xlws.FILTER(Tabla1[[#Data],[AcX]],Tabla1[[ID]:[ID]]=$A70,0)),"")</f>
        <v/>
      </c>
      <c r="I70" t="str" cm="1">
        <f t="array" ref="I70">IF(IFERROR(MAX(_xlfn._xlws.FILTER(Tabla1[[#Data],[AcX]],Tabla1[[ID]:[ID]]=$A70,0)),"")=0,"",IFERROR(MAX(_xlfn._xlws.FILTER(Tabla1[[#Data],[AcX]],Tabla1[[ID]:[ID]]=$A70,0)),""))</f>
        <v/>
      </c>
      <c r="J70" t="str" cm="1">
        <f t="array" ref="J70">IF(IFERROR(MIN(_xlfn._xlws.FILTER(Tabla1[[#Data],[AcX]],Tabla1[[ID]:[ID]]=$A70,0)),"")=0,"",IFERROR(MIN(_xlfn._xlws.FILTER(Tabla1[[#Data],[AcX]],Tabla1[[ID]:[ID]]=$A70,0)),""))</f>
        <v/>
      </c>
      <c r="K70" t="str" cm="1">
        <f t="array" ref="K70">IFERROR(AVERAGE(_xlfn._xlws.FILTER(Tabla1[[#Data],[AcY]],Tabla1[[ID]:[ID]]=$A70,0)),"")</f>
        <v/>
      </c>
      <c r="L70" t="str" cm="1">
        <f t="array" ref="L70">IF(IFERROR(MAX(_xlfn._xlws.FILTER(Tabla1[[#Data],[AcY]],Tabla1[[ID]:[ID]]=$A70,0)),"")=0,"",IFERROR(MAX(_xlfn._xlws.FILTER(Tabla1[[#Data],[AcY]],Tabla1[[ID]:[ID]]=$A70,0)),""))</f>
        <v/>
      </c>
      <c r="M70" t="str" cm="1">
        <f t="array" ref="M70">IF(IFERROR(MIN(_xlfn._xlws.FILTER(Tabla1[[#Data],[AcY]],Tabla1[[ID]:[ID]]=$A70,0)),"")=0,"",IFERROR(MIN(_xlfn._xlws.FILTER(Tabla1[[#Data],[AcY]],Tabla1[[ID]:[ID]]=$A70,0)),""))</f>
        <v/>
      </c>
      <c r="N70" t="str" cm="1">
        <f t="array" ref="N70">IFERROR(AVERAGE(_xlfn._xlws.FILTER(Tabla1[[#Data],[AcZ]],Tabla1[[ID]:[ID]]=$A70,0)),"")</f>
        <v/>
      </c>
      <c r="O70" t="str" cm="1">
        <f t="array" ref="O70">IF(IFERROR(MAX(_xlfn._xlws.FILTER(Tabla1[[#Data],[AcZ]],Tabla1[[ID]:[ID]]=$A70,0)),"")=0,"",IFERROR(MAX(_xlfn._xlws.FILTER(Tabla1[[#Data],[AcZ]],Tabla1[[ID]:[ID]]=$A70,0)),""))</f>
        <v/>
      </c>
      <c r="P70" t="str" cm="1">
        <f t="array" ref="P70">IF(IFERROR(MIN(_xlfn._xlws.FILTER(Tabla1[[#Data],[AcZ]],Tabla1[[ID]:[ID]]=$A70,0)),"")=0,"",IFERROR(MIN(_xlfn._xlws.FILTER(Tabla1[[#Data],[AcZ]],Tabla1[[ID]:[ID]]=$A70,0)),""))</f>
        <v/>
      </c>
      <c r="Q70" t="str" cm="1">
        <f t="array" ref="Q70">IFERROR(AVERAGE(_xlfn._xlws.FILTER(Tabla1[[#Data],[GyX]],Tabla1[[ID]:[ID]]=$A70,0)),"")</f>
        <v/>
      </c>
      <c r="R70" t="str" cm="1">
        <f t="array" ref="R70">IF(IFERROR(MAX(_xlfn._xlws.FILTER(Tabla1[[#Data],[GyX]],Tabla1[[ID]:[ID]]=$A70,0)),"")=0,"",IFERROR(MAX(_xlfn._xlws.FILTER(Tabla1[[#Data],[GyX]],Tabla1[[ID]:[ID]]=$A70,0)),""))</f>
        <v/>
      </c>
      <c r="S70" t="str" cm="1">
        <f t="array" ref="S70">IF(IFERROR(MIN(_xlfn._xlws.FILTER(Tabla1[[#Data],[GyX]],Tabla1[[ID]:[ID]]=$A70,0)),"")=0,"",IFERROR(MIN(_xlfn._xlws.FILTER(Tabla1[[#Data],[GyX]],Tabla1[[ID]:[ID]]=$A70,0)),""))</f>
        <v/>
      </c>
      <c r="T70" t="str" cm="1">
        <f t="array" ref="T70">IFERROR(AVERAGE(_xlfn._xlws.FILTER(Tabla1[[#Data],[GyY]],Tabla1[[ID]:[ID]]=$A70,0)),"")</f>
        <v/>
      </c>
      <c r="U70" t="str" cm="1">
        <f t="array" ref="U70">IF(IFERROR(MAX(_xlfn._xlws.FILTER(Tabla1[[#Data],[GyY]],Tabla1[[ID]:[ID]]=$A70,0)),"")=0,"",IFERROR(MAX(_xlfn._xlws.FILTER(Tabla1[[#Data],[GyY]],Tabla1[[ID]:[ID]]=$A70,0)),""))</f>
        <v/>
      </c>
      <c r="V70" t="str" cm="1">
        <f t="array" ref="V70">IF(IFERROR(MIN(_xlfn._xlws.FILTER(Tabla1[[#Data],[GyY]],Tabla1[[ID]:[ID]]=$A70,0)),"")=0,"",IFERROR(MIN(_xlfn._xlws.FILTER(Tabla1[[#Data],[GyY]],Tabla1[[ID]:[ID]]=$A70,0)),""))</f>
        <v/>
      </c>
      <c r="W70" t="str" cm="1">
        <f t="array" ref="W70">IFERROR(AVERAGE(_xlfn._xlws.FILTER(Tabla1[[#Data],[GyZ]],Tabla1[[ID]:[ID]]=$A70,0)),"")</f>
        <v/>
      </c>
      <c r="X70" t="str" cm="1">
        <f t="array" ref="X70">IF(IFERROR(MAX(_xlfn._xlws.FILTER(Tabla1[[#Data],[GyZ]],Tabla1[[ID]:[ID]]=$A70,0)),"")=0,"",IFERROR(MAX(_xlfn._xlws.FILTER(Tabla1[[#Data],[GyZ]],Tabla1[[ID]:[ID]]=$A70,0)),""))</f>
        <v/>
      </c>
      <c r="Y70" t="str" cm="1">
        <f t="array" ref="Y70">IF(IFERROR(MIN(_xlfn._xlws.FILTER(Tabla1[[#Data],[GyZ]],Tabla1[[ID]:[ID]]=$A70,0)),"")=0,"",IFERROR(MIN(_xlfn._xlws.FILTER(Tabla1[[#Data],[GyZ]],Tabla1[[ID]:[ID]]=$A70,0)),""))</f>
        <v/>
      </c>
      <c r="Z70" t="str" cm="1">
        <f t="array" ref="Z70">IF(ISNUMBER(A70),IF(ISNUMBER(MATCH(1,_xlfn._xlws.FILTER(Tabla1[[#Data],[Open]],Tabla1[[ID]:[ID]]=$A70,""))),1,0),"")</f>
        <v/>
      </c>
      <c r="AA70" t="str">
        <f t="shared" si="10"/>
        <v/>
      </c>
      <c r="AB70" t="str">
        <f t="shared" si="11"/>
        <v/>
      </c>
      <c r="AC70" t="str">
        <f t="shared" si="12"/>
        <v/>
      </c>
      <c r="AD70" t="str">
        <f t="shared" si="13"/>
        <v/>
      </c>
      <c r="AE70" t="str">
        <f t="shared" si="14"/>
        <v/>
      </c>
      <c r="AF70" t="str">
        <f t="shared" si="15"/>
        <v/>
      </c>
      <c r="AG70" t="str">
        <f t="shared" si="16"/>
        <v/>
      </c>
      <c r="AH70" t="str">
        <f t="shared" si="17"/>
        <v/>
      </c>
      <c r="AI70" t="str">
        <f t="shared" si="18"/>
        <v/>
      </c>
      <c r="AJ70" t="str">
        <f t="shared" si="19"/>
        <v/>
      </c>
    </row>
    <row r="71" spans="2:36" x14ac:dyDescent="0.35">
      <c r="B71" t="str" cm="1">
        <f t="array" ref="B71">IFERROR(AVERAGE(_xlfn._xlws.FILTER(Tabla1[[#Data],[Temperatura]],Tabla1[[ID]:[ID]]=$A71,0)),"")</f>
        <v/>
      </c>
      <c r="C71" t="str" cm="1">
        <f t="array" ref="C71">IF(IFERROR(MAX(_xlfn._xlws.FILTER(Tabla1[[#Data],[Temperatura]],Tabla1[[ID]:[ID]]=$A71,0)),"")=0,"",IFERROR(MAX(_xlfn._xlws.FILTER(Tabla1[[#Data],[Temperatura]],Tabla1[[ID]:[ID]]=$A71,0)),""))</f>
        <v/>
      </c>
      <c r="D71" t="str" cm="1">
        <f t="array" ref="D71">IF(IFERROR(MIN(_xlfn._xlws.FILTER(Tabla1[[#Data],[Temperatura]],Tabla1[[ID]:[ID]]=$A71,0)),"")=0,"",IFERROR(MIN(_xlfn._xlws.FILTER(Tabla1[[#Data],[Temperatura]],Tabla1[[ID]:[ID]]=$A71,0)),""))</f>
        <v/>
      </c>
      <c r="E71" t="str" cm="1">
        <f t="array" ref="E71">IFERROR(AVERAGE(_xlfn._xlws.FILTER(Tabla1[[#Data],[Humidade]],Tabla1[[ID]:[ID]]=$A71,0)),"")</f>
        <v/>
      </c>
      <c r="F71" t="str" cm="1">
        <f t="array" ref="F71">IF(IFERROR(MAX(_xlfn._xlws.FILTER(Tabla1[[#Data],[Humidade]],Tabla1[[ID]:[ID]]=$A71,0)),"")=0,"",IFERROR(MAX(_xlfn._xlws.FILTER(Tabla1[[#Data],[Humidade]],Tabla1[[ID]:[ID]]=$A71,0)),""))</f>
        <v/>
      </c>
      <c r="G71" t="str" cm="1">
        <f t="array" ref="G71">IF(IFERROR(MIN(_xlfn._xlws.FILTER(Tabla1[[#Data],[Humidade]],Tabla1[[ID]:[ID]]=$A71,0)),"")=0,"",IFERROR(MIN(_xlfn._xlws.FILTER(Tabla1[[#Data],[Humidade]],Tabla1[[ID]:[ID]]=$A71,0)),""))</f>
        <v/>
      </c>
      <c r="H71" t="str" cm="1">
        <f t="array" ref="H71">IFERROR(AVERAGE(_xlfn._xlws.FILTER(Tabla1[[#Data],[AcX]],Tabla1[[ID]:[ID]]=$A71,0)),"")</f>
        <v/>
      </c>
      <c r="I71" t="str" cm="1">
        <f t="array" ref="I71">IF(IFERROR(MAX(_xlfn._xlws.FILTER(Tabla1[[#Data],[AcX]],Tabla1[[ID]:[ID]]=$A71,0)),"")=0,"",IFERROR(MAX(_xlfn._xlws.FILTER(Tabla1[[#Data],[AcX]],Tabla1[[ID]:[ID]]=$A71,0)),""))</f>
        <v/>
      </c>
      <c r="J71" t="str" cm="1">
        <f t="array" ref="J71">IF(IFERROR(MIN(_xlfn._xlws.FILTER(Tabla1[[#Data],[AcX]],Tabla1[[ID]:[ID]]=$A71,0)),"")=0,"",IFERROR(MIN(_xlfn._xlws.FILTER(Tabla1[[#Data],[AcX]],Tabla1[[ID]:[ID]]=$A71,0)),""))</f>
        <v/>
      </c>
      <c r="K71" t="str" cm="1">
        <f t="array" ref="K71">IFERROR(AVERAGE(_xlfn._xlws.FILTER(Tabla1[[#Data],[AcY]],Tabla1[[ID]:[ID]]=$A71,0)),"")</f>
        <v/>
      </c>
      <c r="L71" t="str" cm="1">
        <f t="array" ref="L71">IF(IFERROR(MAX(_xlfn._xlws.FILTER(Tabla1[[#Data],[AcY]],Tabla1[[ID]:[ID]]=$A71,0)),"")=0,"",IFERROR(MAX(_xlfn._xlws.FILTER(Tabla1[[#Data],[AcY]],Tabla1[[ID]:[ID]]=$A71,0)),""))</f>
        <v/>
      </c>
      <c r="M71" t="str" cm="1">
        <f t="array" ref="M71">IF(IFERROR(MIN(_xlfn._xlws.FILTER(Tabla1[[#Data],[AcY]],Tabla1[[ID]:[ID]]=$A71,0)),"")=0,"",IFERROR(MIN(_xlfn._xlws.FILTER(Tabla1[[#Data],[AcY]],Tabla1[[ID]:[ID]]=$A71,0)),""))</f>
        <v/>
      </c>
      <c r="N71" t="str" cm="1">
        <f t="array" ref="N71">IFERROR(AVERAGE(_xlfn._xlws.FILTER(Tabla1[[#Data],[AcZ]],Tabla1[[ID]:[ID]]=$A71,0)),"")</f>
        <v/>
      </c>
      <c r="O71" t="str" cm="1">
        <f t="array" ref="O71">IF(IFERROR(MAX(_xlfn._xlws.FILTER(Tabla1[[#Data],[AcZ]],Tabla1[[ID]:[ID]]=$A71,0)),"")=0,"",IFERROR(MAX(_xlfn._xlws.FILTER(Tabla1[[#Data],[AcZ]],Tabla1[[ID]:[ID]]=$A71,0)),""))</f>
        <v/>
      </c>
      <c r="P71" t="str" cm="1">
        <f t="array" ref="P71">IF(IFERROR(MIN(_xlfn._xlws.FILTER(Tabla1[[#Data],[AcZ]],Tabla1[[ID]:[ID]]=$A71,0)),"")=0,"",IFERROR(MIN(_xlfn._xlws.FILTER(Tabla1[[#Data],[AcZ]],Tabla1[[ID]:[ID]]=$A71,0)),""))</f>
        <v/>
      </c>
      <c r="Q71" t="str" cm="1">
        <f t="array" ref="Q71">IFERROR(AVERAGE(_xlfn._xlws.FILTER(Tabla1[[#Data],[GyX]],Tabla1[[ID]:[ID]]=$A71,0)),"")</f>
        <v/>
      </c>
      <c r="R71" t="str" cm="1">
        <f t="array" ref="R71">IF(IFERROR(MAX(_xlfn._xlws.FILTER(Tabla1[[#Data],[GyX]],Tabla1[[ID]:[ID]]=$A71,0)),"")=0,"",IFERROR(MAX(_xlfn._xlws.FILTER(Tabla1[[#Data],[GyX]],Tabla1[[ID]:[ID]]=$A71,0)),""))</f>
        <v/>
      </c>
      <c r="S71" t="str" cm="1">
        <f t="array" ref="S71">IF(IFERROR(MIN(_xlfn._xlws.FILTER(Tabla1[[#Data],[GyX]],Tabla1[[ID]:[ID]]=$A71,0)),"")=0,"",IFERROR(MIN(_xlfn._xlws.FILTER(Tabla1[[#Data],[GyX]],Tabla1[[ID]:[ID]]=$A71,0)),""))</f>
        <v/>
      </c>
      <c r="T71" t="str" cm="1">
        <f t="array" ref="T71">IFERROR(AVERAGE(_xlfn._xlws.FILTER(Tabla1[[#Data],[GyY]],Tabla1[[ID]:[ID]]=$A71,0)),"")</f>
        <v/>
      </c>
      <c r="U71" t="str" cm="1">
        <f t="array" ref="U71">IF(IFERROR(MAX(_xlfn._xlws.FILTER(Tabla1[[#Data],[GyY]],Tabla1[[ID]:[ID]]=$A71,0)),"")=0,"",IFERROR(MAX(_xlfn._xlws.FILTER(Tabla1[[#Data],[GyY]],Tabla1[[ID]:[ID]]=$A71,0)),""))</f>
        <v/>
      </c>
      <c r="V71" t="str" cm="1">
        <f t="array" ref="V71">IF(IFERROR(MIN(_xlfn._xlws.FILTER(Tabla1[[#Data],[GyY]],Tabla1[[ID]:[ID]]=$A71,0)),"")=0,"",IFERROR(MIN(_xlfn._xlws.FILTER(Tabla1[[#Data],[GyY]],Tabla1[[ID]:[ID]]=$A71,0)),""))</f>
        <v/>
      </c>
      <c r="W71" t="str" cm="1">
        <f t="array" ref="W71">IFERROR(AVERAGE(_xlfn._xlws.FILTER(Tabla1[[#Data],[GyZ]],Tabla1[[ID]:[ID]]=$A71,0)),"")</f>
        <v/>
      </c>
      <c r="X71" t="str" cm="1">
        <f t="array" ref="X71">IF(IFERROR(MAX(_xlfn._xlws.FILTER(Tabla1[[#Data],[GyZ]],Tabla1[[ID]:[ID]]=$A71,0)),"")=0,"",IFERROR(MAX(_xlfn._xlws.FILTER(Tabla1[[#Data],[GyZ]],Tabla1[[ID]:[ID]]=$A71,0)),""))</f>
        <v/>
      </c>
      <c r="Y71" t="str" cm="1">
        <f t="array" ref="Y71">IF(IFERROR(MIN(_xlfn._xlws.FILTER(Tabla1[[#Data],[GyZ]],Tabla1[[ID]:[ID]]=$A71,0)),"")=0,"",IFERROR(MIN(_xlfn._xlws.FILTER(Tabla1[[#Data],[GyZ]],Tabla1[[ID]:[ID]]=$A71,0)),""))</f>
        <v/>
      </c>
      <c r="Z71" t="str" cm="1">
        <f t="array" ref="Z71">IF(ISNUMBER(A71),IF(ISNUMBER(MATCH(1,_xlfn._xlws.FILTER(Tabla1[[#Data],[Open]],Tabla1[[ID]:[ID]]=$A71,""))),1,0),"")</f>
        <v/>
      </c>
      <c r="AA71" t="str">
        <f t="shared" si="10"/>
        <v/>
      </c>
      <c r="AB71" t="str">
        <f t="shared" si="11"/>
        <v/>
      </c>
      <c r="AC71" t="str">
        <f t="shared" si="12"/>
        <v/>
      </c>
      <c r="AD71" t="str">
        <f t="shared" si="13"/>
        <v/>
      </c>
      <c r="AE71" t="str">
        <f t="shared" si="14"/>
        <v/>
      </c>
      <c r="AF71" t="str">
        <f t="shared" si="15"/>
        <v/>
      </c>
      <c r="AG71" t="str">
        <f t="shared" si="16"/>
        <v/>
      </c>
      <c r="AH71" t="str">
        <f t="shared" si="17"/>
        <v/>
      </c>
      <c r="AI71" t="str">
        <f t="shared" si="18"/>
        <v/>
      </c>
      <c r="AJ71" t="str">
        <f t="shared" si="19"/>
        <v/>
      </c>
    </row>
    <row r="72" spans="2:36" x14ac:dyDescent="0.35">
      <c r="B72" t="str" cm="1">
        <f t="array" ref="B72">IFERROR(AVERAGE(_xlfn._xlws.FILTER(Tabla1[[#Data],[Temperatura]],Tabla1[[ID]:[ID]]=$A72,0)),"")</f>
        <v/>
      </c>
      <c r="C72" t="str" cm="1">
        <f t="array" ref="C72">IF(IFERROR(MAX(_xlfn._xlws.FILTER(Tabla1[[#Data],[Temperatura]],Tabla1[[ID]:[ID]]=$A72,0)),"")=0,"",IFERROR(MAX(_xlfn._xlws.FILTER(Tabla1[[#Data],[Temperatura]],Tabla1[[ID]:[ID]]=$A72,0)),""))</f>
        <v/>
      </c>
      <c r="D72" t="str" cm="1">
        <f t="array" ref="D72">IF(IFERROR(MIN(_xlfn._xlws.FILTER(Tabla1[[#Data],[Temperatura]],Tabla1[[ID]:[ID]]=$A72,0)),"")=0,"",IFERROR(MIN(_xlfn._xlws.FILTER(Tabla1[[#Data],[Temperatura]],Tabla1[[ID]:[ID]]=$A72,0)),""))</f>
        <v/>
      </c>
      <c r="E72" t="str" cm="1">
        <f t="array" ref="E72">IFERROR(AVERAGE(_xlfn._xlws.FILTER(Tabla1[[#Data],[Humidade]],Tabla1[[ID]:[ID]]=$A72,0)),"")</f>
        <v/>
      </c>
      <c r="F72" t="str" cm="1">
        <f t="array" ref="F72">IF(IFERROR(MAX(_xlfn._xlws.FILTER(Tabla1[[#Data],[Humidade]],Tabla1[[ID]:[ID]]=$A72,0)),"")=0,"",IFERROR(MAX(_xlfn._xlws.FILTER(Tabla1[[#Data],[Humidade]],Tabla1[[ID]:[ID]]=$A72,0)),""))</f>
        <v/>
      </c>
      <c r="G72" t="str" cm="1">
        <f t="array" ref="G72">IF(IFERROR(MIN(_xlfn._xlws.FILTER(Tabla1[[#Data],[Humidade]],Tabla1[[ID]:[ID]]=$A72,0)),"")=0,"",IFERROR(MIN(_xlfn._xlws.FILTER(Tabla1[[#Data],[Humidade]],Tabla1[[ID]:[ID]]=$A72,0)),""))</f>
        <v/>
      </c>
      <c r="H72" t="str" cm="1">
        <f t="array" ref="H72">IFERROR(AVERAGE(_xlfn._xlws.FILTER(Tabla1[[#Data],[AcX]],Tabla1[[ID]:[ID]]=$A72,0)),"")</f>
        <v/>
      </c>
      <c r="I72" t="str" cm="1">
        <f t="array" ref="I72">IF(IFERROR(MAX(_xlfn._xlws.FILTER(Tabla1[[#Data],[AcX]],Tabla1[[ID]:[ID]]=$A72,0)),"")=0,"",IFERROR(MAX(_xlfn._xlws.FILTER(Tabla1[[#Data],[AcX]],Tabla1[[ID]:[ID]]=$A72,0)),""))</f>
        <v/>
      </c>
      <c r="J72" t="str" cm="1">
        <f t="array" ref="J72">IF(IFERROR(MIN(_xlfn._xlws.FILTER(Tabla1[[#Data],[AcX]],Tabla1[[ID]:[ID]]=$A72,0)),"")=0,"",IFERROR(MIN(_xlfn._xlws.FILTER(Tabla1[[#Data],[AcX]],Tabla1[[ID]:[ID]]=$A72,0)),""))</f>
        <v/>
      </c>
      <c r="K72" t="str" cm="1">
        <f t="array" ref="K72">IFERROR(AVERAGE(_xlfn._xlws.FILTER(Tabla1[[#Data],[AcY]],Tabla1[[ID]:[ID]]=$A72,0)),"")</f>
        <v/>
      </c>
      <c r="L72" t="str" cm="1">
        <f t="array" ref="L72">IF(IFERROR(MAX(_xlfn._xlws.FILTER(Tabla1[[#Data],[AcY]],Tabla1[[ID]:[ID]]=$A72,0)),"")=0,"",IFERROR(MAX(_xlfn._xlws.FILTER(Tabla1[[#Data],[AcY]],Tabla1[[ID]:[ID]]=$A72,0)),""))</f>
        <v/>
      </c>
      <c r="M72" t="str" cm="1">
        <f t="array" ref="M72">IF(IFERROR(MIN(_xlfn._xlws.FILTER(Tabla1[[#Data],[AcY]],Tabla1[[ID]:[ID]]=$A72,0)),"")=0,"",IFERROR(MIN(_xlfn._xlws.FILTER(Tabla1[[#Data],[AcY]],Tabla1[[ID]:[ID]]=$A72,0)),""))</f>
        <v/>
      </c>
      <c r="N72" t="str" cm="1">
        <f t="array" ref="N72">IFERROR(AVERAGE(_xlfn._xlws.FILTER(Tabla1[[#Data],[AcZ]],Tabla1[[ID]:[ID]]=$A72,0)),"")</f>
        <v/>
      </c>
      <c r="O72" t="str" cm="1">
        <f t="array" ref="O72">IF(IFERROR(MAX(_xlfn._xlws.FILTER(Tabla1[[#Data],[AcZ]],Tabla1[[ID]:[ID]]=$A72,0)),"")=0,"",IFERROR(MAX(_xlfn._xlws.FILTER(Tabla1[[#Data],[AcZ]],Tabla1[[ID]:[ID]]=$A72,0)),""))</f>
        <v/>
      </c>
      <c r="P72" t="str" cm="1">
        <f t="array" ref="P72">IF(IFERROR(MIN(_xlfn._xlws.FILTER(Tabla1[[#Data],[AcZ]],Tabla1[[ID]:[ID]]=$A72,0)),"")=0,"",IFERROR(MIN(_xlfn._xlws.FILTER(Tabla1[[#Data],[AcZ]],Tabla1[[ID]:[ID]]=$A72,0)),""))</f>
        <v/>
      </c>
      <c r="Q72" t="str" cm="1">
        <f t="array" ref="Q72">IFERROR(AVERAGE(_xlfn._xlws.FILTER(Tabla1[[#Data],[GyX]],Tabla1[[ID]:[ID]]=$A72,0)),"")</f>
        <v/>
      </c>
      <c r="R72" t="str" cm="1">
        <f t="array" ref="R72">IF(IFERROR(MAX(_xlfn._xlws.FILTER(Tabla1[[#Data],[GyX]],Tabla1[[ID]:[ID]]=$A72,0)),"")=0,"",IFERROR(MAX(_xlfn._xlws.FILTER(Tabla1[[#Data],[GyX]],Tabla1[[ID]:[ID]]=$A72,0)),""))</f>
        <v/>
      </c>
      <c r="S72" t="str" cm="1">
        <f t="array" ref="S72">IF(IFERROR(MIN(_xlfn._xlws.FILTER(Tabla1[[#Data],[GyX]],Tabla1[[ID]:[ID]]=$A72,0)),"")=0,"",IFERROR(MIN(_xlfn._xlws.FILTER(Tabla1[[#Data],[GyX]],Tabla1[[ID]:[ID]]=$A72,0)),""))</f>
        <v/>
      </c>
      <c r="T72" t="str" cm="1">
        <f t="array" ref="T72">IFERROR(AVERAGE(_xlfn._xlws.FILTER(Tabla1[[#Data],[GyY]],Tabla1[[ID]:[ID]]=$A72,0)),"")</f>
        <v/>
      </c>
      <c r="U72" t="str" cm="1">
        <f t="array" ref="U72">IF(IFERROR(MAX(_xlfn._xlws.FILTER(Tabla1[[#Data],[GyY]],Tabla1[[ID]:[ID]]=$A72,0)),"")=0,"",IFERROR(MAX(_xlfn._xlws.FILTER(Tabla1[[#Data],[GyY]],Tabla1[[ID]:[ID]]=$A72,0)),""))</f>
        <v/>
      </c>
      <c r="V72" t="str" cm="1">
        <f t="array" ref="V72">IF(IFERROR(MIN(_xlfn._xlws.FILTER(Tabla1[[#Data],[GyY]],Tabla1[[ID]:[ID]]=$A72,0)),"")=0,"",IFERROR(MIN(_xlfn._xlws.FILTER(Tabla1[[#Data],[GyY]],Tabla1[[ID]:[ID]]=$A72,0)),""))</f>
        <v/>
      </c>
      <c r="W72" t="str" cm="1">
        <f t="array" ref="W72">IFERROR(AVERAGE(_xlfn._xlws.FILTER(Tabla1[[#Data],[GyZ]],Tabla1[[ID]:[ID]]=$A72,0)),"")</f>
        <v/>
      </c>
      <c r="X72" t="str" cm="1">
        <f t="array" ref="X72">IF(IFERROR(MAX(_xlfn._xlws.FILTER(Tabla1[[#Data],[GyZ]],Tabla1[[ID]:[ID]]=$A72,0)),"")=0,"",IFERROR(MAX(_xlfn._xlws.FILTER(Tabla1[[#Data],[GyZ]],Tabla1[[ID]:[ID]]=$A72,0)),""))</f>
        <v/>
      </c>
      <c r="Y72" t="str" cm="1">
        <f t="array" ref="Y72">IF(IFERROR(MIN(_xlfn._xlws.FILTER(Tabla1[[#Data],[GyZ]],Tabla1[[ID]:[ID]]=$A72,0)),"")=0,"",IFERROR(MIN(_xlfn._xlws.FILTER(Tabla1[[#Data],[GyZ]],Tabla1[[ID]:[ID]]=$A72,0)),""))</f>
        <v/>
      </c>
      <c r="Z72" t="str" cm="1">
        <f t="array" ref="Z72">IF(ISNUMBER(A72),IF(ISNUMBER(MATCH(1,_xlfn._xlws.FILTER(Tabla1[[#Data],[Open]],Tabla1[[ID]:[ID]]=$A72,""))),1,0),"")</f>
        <v/>
      </c>
      <c r="AA72" t="str">
        <f t="shared" si="10"/>
        <v/>
      </c>
      <c r="AB72" t="str">
        <f t="shared" si="11"/>
        <v/>
      </c>
      <c r="AC72" t="str">
        <f t="shared" si="12"/>
        <v/>
      </c>
      <c r="AD72" t="str">
        <f t="shared" si="13"/>
        <v/>
      </c>
      <c r="AE72" t="str">
        <f t="shared" si="14"/>
        <v/>
      </c>
      <c r="AF72" t="str">
        <f t="shared" si="15"/>
        <v/>
      </c>
      <c r="AG72" t="str">
        <f t="shared" si="16"/>
        <v/>
      </c>
      <c r="AH72" t="str">
        <f t="shared" si="17"/>
        <v/>
      </c>
      <c r="AI72" t="str">
        <f t="shared" si="18"/>
        <v/>
      </c>
      <c r="AJ72" t="str">
        <f t="shared" si="19"/>
        <v/>
      </c>
    </row>
    <row r="73" spans="2:36" x14ac:dyDescent="0.35">
      <c r="B73" t="str" cm="1">
        <f t="array" ref="B73">IFERROR(AVERAGE(_xlfn._xlws.FILTER(Tabla1[[#Data],[Temperatura]],Tabla1[[ID]:[ID]]=$A73,0)),"")</f>
        <v/>
      </c>
      <c r="C73" t="str" cm="1">
        <f t="array" ref="C73">IF(IFERROR(MAX(_xlfn._xlws.FILTER(Tabla1[[#Data],[Temperatura]],Tabla1[[ID]:[ID]]=$A73,0)),"")=0,"",IFERROR(MAX(_xlfn._xlws.FILTER(Tabla1[[#Data],[Temperatura]],Tabla1[[ID]:[ID]]=$A73,0)),""))</f>
        <v/>
      </c>
      <c r="D73" t="str" cm="1">
        <f t="array" ref="D73">IF(IFERROR(MIN(_xlfn._xlws.FILTER(Tabla1[[#Data],[Temperatura]],Tabla1[[ID]:[ID]]=$A73,0)),"")=0,"",IFERROR(MIN(_xlfn._xlws.FILTER(Tabla1[[#Data],[Temperatura]],Tabla1[[ID]:[ID]]=$A73,0)),""))</f>
        <v/>
      </c>
      <c r="E73" t="str" cm="1">
        <f t="array" ref="E73">IFERROR(AVERAGE(_xlfn._xlws.FILTER(Tabla1[[#Data],[Humidade]],Tabla1[[ID]:[ID]]=$A73,0)),"")</f>
        <v/>
      </c>
      <c r="F73" t="str" cm="1">
        <f t="array" ref="F73">IF(IFERROR(MAX(_xlfn._xlws.FILTER(Tabla1[[#Data],[Humidade]],Tabla1[[ID]:[ID]]=$A73,0)),"")=0,"",IFERROR(MAX(_xlfn._xlws.FILTER(Tabla1[[#Data],[Humidade]],Tabla1[[ID]:[ID]]=$A73,0)),""))</f>
        <v/>
      </c>
      <c r="G73" t="str" cm="1">
        <f t="array" ref="G73">IF(IFERROR(MIN(_xlfn._xlws.FILTER(Tabla1[[#Data],[Humidade]],Tabla1[[ID]:[ID]]=$A73,0)),"")=0,"",IFERROR(MIN(_xlfn._xlws.FILTER(Tabla1[[#Data],[Humidade]],Tabla1[[ID]:[ID]]=$A73,0)),""))</f>
        <v/>
      </c>
      <c r="H73" t="str" cm="1">
        <f t="array" ref="H73">IFERROR(AVERAGE(_xlfn._xlws.FILTER(Tabla1[[#Data],[AcX]],Tabla1[[ID]:[ID]]=$A73,0)),"")</f>
        <v/>
      </c>
      <c r="I73" t="str" cm="1">
        <f t="array" ref="I73">IF(IFERROR(MAX(_xlfn._xlws.FILTER(Tabla1[[#Data],[AcX]],Tabla1[[ID]:[ID]]=$A73,0)),"")=0,"",IFERROR(MAX(_xlfn._xlws.FILTER(Tabla1[[#Data],[AcX]],Tabla1[[ID]:[ID]]=$A73,0)),""))</f>
        <v/>
      </c>
      <c r="J73" t="str" cm="1">
        <f t="array" ref="J73">IF(IFERROR(MIN(_xlfn._xlws.FILTER(Tabla1[[#Data],[AcX]],Tabla1[[ID]:[ID]]=$A73,0)),"")=0,"",IFERROR(MIN(_xlfn._xlws.FILTER(Tabla1[[#Data],[AcX]],Tabla1[[ID]:[ID]]=$A73,0)),""))</f>
        <v/>
      </c>
      <c r="K73" t="str" cm="1">
        <f t="array" ref="K73">IFERROR(AVERAGE(_xlfn._xlws.FILTER(Tabla1[[#Data],[AcY]],Tabla1[[ID]:[ID]]=$A73,0)),"")</f>
        <v/>
      </c>
      <c r="L73" t="str" cm="1">
        <f t="array" ref="L73">IF(IFERROR(MAX(_xlfn._xlws.FILTER(Tabla1[[#Data],[AcY]],Tabla1[[ID]:[ID]]=$A73,0)),"")=0,"",IFERROR(MAX(_xlfn._xlws.FILTER(Tabla1[[#Data],[AcY]],Tabla1[[ID]:[ID]]=$A73,0)),""))</f>
        <v/>
      </c>
      <c r="M73" t="str" cm="1">
        <f t="array" ref="M73">IF(IFERROR(MIN(_xlfn._xlws.FILTER(Tabla1[[#Data],[AcY]],Tabla1[[ID]:[ID]]=$A73,0)),"")=0,"",IFERROR(MIN(_xlfn._xlws.FILTER(Tabla1[[#Data],[AcY]],Tabla1[[ID]:[ID]]=$A73,0)),""))</f>
        <v/>
      </c>
      <c r="N73" t="str" cm="1">
        <f t="array" ref="N73">IFERROR(AVERAGE(_xlfn._xlws.FILTER(Tabla1[[#Data],[AcZ]],Tabla1[[ID]:[ID]]=$A73,0)),"")</f>
        <v/>
      </c>
      <c r="O73" t="str" cm="1">
        <f t="array" ref="O73">IF(IFERROR(MAX(_xlfn._xlws.FILTER(Tabla1[[#Data],[AcZ]],Tabla1[[ID]:[ID]]=$A73,0)),"")=0,"",IFERROR(MAX(_xlfn._xlws.FILTER(Tabla1[[#Data],[AcZ]],Tabla1[[ID]:[ID]]=$A73,0)),""))</f>
        <v/>
      </c>
      <c r="P73" t="str" cm="1">
        <f t="array" ref="P73">IF(IFERROR(MIN(_xlfn._xlws.FILTER(Tabla1[[#Data],[AcZ]],Tabla1[[ID]:[ID]]=$A73,0)),"")=0,"",IFERROR(MIN(_xlfn._xlws.FILTER(Tabla1[[#Data],[AcZ]],Tabla1[[ID]:[ID]]=$A73,0)),""))</f>
        <v/>
      </c>
      <c r="Q73" t="str" cm="1">
        <f t="array" ref="Q73">IFERROR(AVERAGE(_xlfn._xlws.FILTER(Tabla1[[#Data],[GyX]],Tabla1[[ID]:[ID]]=$A73,0)),"")</f>
        <v/>
      </c>
      <c r="R73" t="str" cm="1">
        <f t="array" ref="R73">IF(IFERROR(MAX(_xlfn._xlws.FILTER(Tabla1[[#Data],[GyX]],Tabla1[[ID]:[ID]]=$A73,0)),"")=0,"",IFERROR(MAX(_xlfn._xlws.FILTER(Tabla1[[#Data],[GyX]],Tabla1[[ID]:[ID]]=$A73,0)),""))</f>
        <v/>
      </c>
      <c r="S73" t="str" cm="1">
        <f t="array" ref="S73">IF(IFERROR(MIN(_xlfn._xlws.FILTER(Tabla1[[#Data],[GyX]],Tabla1[[ID]:[ID]]=$A73,0)),"")=0,"",IFERROR(MIN(_xlfn._xlws.FILTER(Tabla1[[#Data],[GyX]],Tabla1[[ID]:[ID]]=$A73,0)),""))</f>
        <v/>
      </c>
      <c r="T73" t="str" cm="1">
        <f t="array" ref="T73">IFERROR(AVERAGE(_xlfn._xlws.FILTER(Tabla1[[#Data],[GyY]],Tabla1[[ID]:[ID]]=$A73,0)),"")</f>
        <v/>
      </c>
      <c r="U73" t="str" cm="1">
        <f t="array" ref="U73">IF(IFERROR(MAX(_xlfn._xlws.FILTER(Tabla1[[#Data],[GyY]],Tabla1[[ID]:[ID]]=$A73,0)),"")=0,"",IFERROR(MAX(_xlfn._xlws.FILTER(Tabla1[[#Data],[GyY]],Tabla1[[ID]:[ID]]=$A73,0)),""))</f>
        <v/>
      </c>
      <c r="V73" t="str" cm="1">
        <f t="array" ref="V73">IF(IFERROR(MIN(_xlfn._xlws.FILTER(Tabla1[[#Data],[GyY]],Tabla1[[ID]:[ID]]=$A73,0)),"")=0,"",IFERROR(MIN(_xlfn._xlws.FILTER(Tabla1[[#Data],[GyY]],Tabla1[[ID]:[ID]]=$A73,0)),""))</f>
        <v/>
      </c>
      <c r="W73" t="str" cm="1">
        <f t="array" ref="W73">IFERROR(AVERAGE(_xlfn._xlws.FILTER(Tabla1[[#Data],[GyZ]],Tabla1[[ID]:[ID]]=$A73,0)),"")</f>
        <v/>
      </c>
      <c r="X73" t="str" cm="1">
        <f t="array" ref="X73">IF(IFERROR(MAX(_xlfn._xlws.FILTER(Tabla1[[#Data],[GyZ]],Tabla1[[ID]:[ID]]=$A73,0)),"")=0,"",IFERROR(MAX(_xlfn._xlws.FILTER(Tabla1[[#Data],[GyZ]],Tabla1[[ID]:[ID]]=$A73,0)),""))</f>
        <v/>
      </c>
      <c r="Y73" t="str" cm="1">
        <f t="array" ref="Y73">IF(IFERROR(MIN(_xlfn._xlws.FILTER(Tabla1[[#Data],[GyZ]],Tabla1[[ID]:[ID]]=$A73,0)),"")=0,"",IFERROR(MIN(_xlfn._xlws.FILTER(Tabla1[[#Data],[GyZ]],Tabla1[[ID]:[ID]]=$A73,0)),""))</f>
        <v/>
      </c>
      <c r="Z73" t="str" cm="1">
        <f t="array" ref="Z73">IF(ISNUMBER(A73),IF(ISNUMBER(MATCH(1,_xlfn._xlws.FILTER(Tabla1[[#Data],[Open]],Tabla1[[ID]:[ID]]=$A73,""))),1,0),"")</f>
        <v/>
      </c>
      <c r="AA73" t="str">
        <f t="shared" si="10"/>
        <v/>
      </c>
      <c r="AB73" t="str">
        <f t="shared" si="11"/>
        <v/>
      </c>
      <c r="AC73" t="str">
        <f t="shared" si="12"/>
        <v/>
      </c>
      <c r="AD73" t="str">
        <f t="shared" si="13"/>
        <v/>
      </c>
      <c r="AE73" t="str">
        <f t="shared" si="14"/>
        <v/>
      </c>
      <c r="AF73" t="str">
        <f t="shared" si="15"/>
        <v/>
      </c>
      <c r="AG73" t="str">
        <f t="shared" si="16"/>
        <v/>
      </c>
      <c r="AH73" t="str">
        <f t="shared" si="17"/>
        <v/>
      </c>
      <c r="AI73" t="str">
        <f t="shared" si="18"/>
        <v/>
      </c>
      <c r="AJ73" t="str">
        <f t="shared" si="19"/>
        <v/>
      </c>
    </row>
    <row r="74" spans="2:36" x14ac:dyDescent="0.35">
      <c r="B74" t="str" cm="1">
        <f t="array" ref="B74">IFERROR(AVERAGE(_xlfn._xlws.FILTER(Tabla1[[#Data],[Temperatura]],Tabla1[[ID]:[ID]]=$A74,0)),"")</f>
        <v/>
      </c>
      <c r="C74" t="str" cm="1">
        <f t="array" ref="C74">IF(IFERROR(MAX(_xlfn._xlws.FILTER(Tabla1[[#Data],[Temperatura]],Tabla1[[ID]:[ID]]=$A74,0)),"")=0,"",IFERROR(MAX(_xlfn._xlws.FILTER(Tabla1[[#Data],[Temperatura]],Tabla1[[ID]:[ID]]=$A74,0)),""))</f>
        <v/>
      </c>
      <c r="D74" t="str" cm="1">
        <f t="array" ref="D74">IF(IFERROR(MIN(_xlfn._xlws.FILTER(Tabla1[[#Data],[Temperatura]],Tabla1[[ID]:[ID]]=$A74,0)),"")=0,"",IFERROR(MIN(_xlfn._xlws.FILTER(Tabla1[[#Data],[Temperatura]],Tabla1[[ID]:[ID]]=$A74,0)),""))</f>
        <v/>
      </c>
      <c r="E74" t="str" cm="1">
        <f t="array" ref="E74">IFERROR(AVERAGE(_xlfn._xlws.FILTER(Tabla1[[#Data],[Humidade]],Tabla1[[ID]:[ID]]=$A74,0)),"")</f>
        <v/>
      </c>
      <c r="F74" t="str" cm="1">
        <f t="array" ref="F74">IF(IFERROR(MAX(_xlfn._xlws.FILTER(Tabla1[[#Data],[Humidade]],Tabla1[[ID]:[ID]]=$A74,0)),"")=0,"",IFERROR(MAX(_xlfn._xlws.FILTER(Tabla1[[#Data],[Humidade]],Tabla1[[ID]:[ID]]=$A74,0)),""))</f>
        <v/>
      </c>
      <c r="G74" t="str" cm="1">
        <f t="array" ref="G74">IF(IFERROR(MIN(_xlfn._xlws.FILTER(Tabla1[[#Data],[Humidade]],Tabla1[[ID]:[ID]]=$A74,0)),"")=0,"",IFERROR(MIN(_xlfn._xlws.FILTER(Tabla1[[#Data],[Humidade]],Tabla1[[ID]:[ID]]=$A74,0)),""))</f>
        <v/>
      </c>
      <c r="H74" t="str" cm="1">
        <f t="array" ref="H74">IFERROR(AVERAGE(_xlfn._xlws.FILTER(Tabla1[[#Data],[AcX]],Tabla1[[ID]:[ID]]=$A74,0)),"")</f>
        <v/>
      </c>
      <c r="I74" t="str" cm="1">
        <f t="array" ref="I74">IF(IFERROR(MAX(_xlfn._xlws.FILTER(Tabla1[[#Data],[AcX]],Tabla1[[ID]:[ID]]=$A74,0)),"")=0,"",IFERROR(MAX(_xlfn._xlws.FILTER(Tabla1[[#Data],[AcX]],Tabla1[[ID]:[ID]]=$A74,0)),""))</f>
        <v/>
      </c>
      <c r="J74" t="str" cm="1">
        <f t="array" ref="J74">IF(IFERROR(MIN(_xlfn._xlws.FILTER(Tabla1[[#Data],[AcX]],Tabla1[[ID]:[ID]]=$A74,0)),"")=0,"",IFERROR(MIN(_xlfn._xlws.FILTER(Tabla1[[#Data],[AcX]],Tabla1[[ID]:[ID]]=$A74,0)),""))</f>
        <v/>
      </c>
      <c r="K74" t="str" cm="1">
        <f t="array" ref="K74">IFERROR(AVERAGE(_xlfn._xlws.FILTER(Tabla1[[#Data],[AcY]],Tabla1[[ID]:[ID]]=$A74,0)),"")</f>
        <v/>
      </c>
      <c r="L74" t="str" cm="1">
        <f t="array" ref="L74">IF(IFERROR(MAX(_xlfn._xlws.FILTER(Tabla1[[#Data],[AcY]],Tabla1[[ID]:[ID]]=$A74,0)),"")=0,"",IFERROR(MAX(_xlfn._xlws.FILTER(Tabla1[[#Data],[AcY]],Tabla1[[ID]:[ID]]=$A74,0)),""))</f>
        <v/>
      </c>
      <c r="M74" t="str" cm="1">
        <f t="array" ref="M74">IF(IFERROR(MIN(_xlfn._xlws.FILTER(Tabla1[[#Data],[AcY]],Tabla1[[ID]:[ID]]=$A74,0)),"")=0,"",IFERROR(MIN(_xlfn._xlws.FILTER(Tabla1[[#Data],[AcY]],Tabla1[[ID]:[ID]]=$A74,0)),""))</f>
        <v/>
      </c>
      <c r="N74" t="str" cm="1">
        <f t="array" ref="N74">IFERROR(AVERAGE(_xlfn._xlws.FILTER(Tabla1[[#Data],[AcZ]],Tabla1[[ID]:[ID]]=$A74,0)),"")</f>
        <v/>
      </c>
      <c r="O74" t="str" cm="1">
        <f t="array" ref="O74">IF(IFERROR(MAX(_xlfn._xlws.FILTER(Tabla1[[#Data],[AcZ]],Tabla1[[ID]:[ID]]=$A74,0)),"")=0,"",IFERROR(MAX(_xlfn._xlws.FILTER(Tabla1[[#Data],[AcZ]],Tabla1[[ID]:[ID]]=$A74,0)),""))</f>
        <v/>
      </c>
      <c r="P74" t="str" cm="1">
        <f t="array" ref="P74">IF(IFERROR(MIN(_xlfn._xlws.FILTER(Tabla1[[#Data],[AcZ]],Tabla1[[ID]:[ID]]=$A74,0)),"")=0,"",IFERROR(MIN(_xlfn._xlws.FILTER(Tabla1[[#Data],[AcZ]],Tabla1[[ID]:[ID]]=$A74,0)),""))</f>
        <v/>
      </c>
      <c r="Q74" t="str" cm="1">
        <f t="array" ref="Q74">IFERROR(AVERAGE(_xlfn._xlws.FILTER(Tabla1[[#Data],[GyX]],Tabla1[[ID]:[ID]]=$A74,0)),"")</f>
        <v/>
      </c>
      <c r="R74" t="str" cm="1">
        <f t="array" ref="R74">IF(IFERROR(MAX(_xlfn._xlws.FILTER(Tabla1[[#Data],[GyX]],Tabla1[[ID]:[ID]]=$A74,0)),"")=0,"",IFERROR(MAX(_xlfn._xlws.FILTER(Tabla1[[#Data],[GyX]],Tabla1[[ID]:[ID]]=$A74,0)),""))</f>
        <v/>
      </c>
      <c r="S74" t="str" cm="1">
        <f t="array" ref="S74">IF(IFERROR(MIN(_xlfn._xlws.FILTER(Tabla1[[#Data],[GyX]],Tabla1[[ID]:[ID]]=$A74,0)),"")=0,"",IFERROR(MIN(_xlfn._xlws.FILTER(Tabla1[[#Data],[GyX]],Tabla1[[ID]:[ID]]=$A74,0)),""))</f>
        <v/>
      </c>
      <c r="T74" t="str" cm="1">
        <f t="array" ref="T74">IFERROR(AVERAGE(_xlfn._xlws.FILTER(Tabla1[[#Data],[GyY]],Tabla1[[ID]:[ID]]=$A74,0)),"")</f>
        <v/>
      </c>
      <c r="U74" t="str" cm="1">
        <f t="array" ref="U74">IF(IFERROR(MAX(_xlfn._xlws.FILTER(Tabla1[[#Data],[GyY]],Tabla1[[ID]:[ID]]=$A74,0)),"")=0,"",IFERROR(MAX(_xlfn._xlws.FILTER(Tabla1[[#Data],[GyY]],Tabla1[[ID]:[ID]]=$A74,0)),""))</f>
        <v/>
      </c>
      <c r="V74" t="str" cm="1">
        <f t="array" ref="V74">IF(IFERROR(MIN(_xlfn._xlws.FILTER(Tabla1[[#Data],[GyY]],Tabla1[[ID]:[ID]]=$A74,0)),"")=0,"",IFERROR(MIN(_xlfn._xlws.FILTER(Tabla1[[#Data],[GyY]],Tabla1[[ID]:[ID]]=$A74,0)),""))</f>
        <v/>
      </c>
      <c r="W74" t="str" cm="1">
        <f t="array" ref="W74">IFERROR(AVERAGE(_xlfn._xlws.FILTER(Tabla1[[#Data],[GyZ]],Tabla1[[ID]:[ID]]=$A74,0)),"")</f>
        <v/>
      </c>
      <c r="X74" t="str" cm="1">
        <f t="array" ref="X74">IF(IFERROR(MAX(_xlfn._xlws.FILTER(Tabla1[[#Data],[GyZ]],Tabla1[[ID]:[ID]]=$A74,0)),"")=0,"",IFERROR(MAX(_xlfn._xlws.FILTER(Tabla1[[#Data],[GyZ]],Tabla1[[ID]:[ID]]=$A74,0)),""))</f>
        <v/>
      </c>
      <c r="Y74" t="str" cm="1">
        <f t="array" ref="Y74">IF(IFERROR(MIN(_xlfn._xlws.FILTER(Tabla1[[#Data],[GyZ]],Tabla1[[ID]:[ID]]=$A74,0)),"")=0,"",IFERROR(MIN(_xlfn._xlws.FILTER(Tabla1[[#Data],[GyZ]],Tabla1[[ID]:[ID]]=$A74,0)),""))</f>
        <v/>
      </c>
      <c r="Z74" t="str" cm="1">
        <f t="array" ref="Z74">IF(ISNUMBER(A74),IF(ISNUMBER(MATCH(1,_xlfn._xlws.FILTER(Tabla1[[#Data],[Open]],Tabla1[[ID]:[ID]]=$A74,""))),1,0),"")</f>
        <v/>
      </c>
      <c r="AA74" t="str">
        <f t="shared" si="10"/>
        <v/>
      </c>
      <c r="AB74" t="str">
        <f t="shared" si="11"/>
        <v/>
      </c>
      <c r="AC74" t="str">
        <f t="shared" si="12"/>
        <v/>
      </c>
      <c r="AD74" t="str">
        <f t="shared" si="13"/>
        <v/>
      </c>
      <c r="AE74" t="str">
        <f t="shared" si="14"/>
        <v/>
      </c>
      <c r="AF74" t="str">
        <f t="shared" si="15"/>
        <v/>
      </c>
      <c r="AG74" t="str">
        <f t="shared" si="16"/>
        <v/>
      </c>
      <c r="AH74" t="str">
        <f t="shared" si="17"/>
        <v/>
      </c>
      <c r="AI74" t="str">
        <f t="shared" si="18"/>
        <v/>
      </c>
      <c r="AJ74" t="str">
        <f t="shared" si="19"/>
        <v/>
      </c>
    </row>
    <row r="75" spans="2:36" x14ac:dyDescent="0.35">
      <c r="B75" t="str" cm="1">
        <f t="array" ref="B75">IFERROR(AVERAGE(_xlfn._xlws.FILTER(Tabla1[[#Data],[Temperatura]],Tabla1[[ID]:[ID]]=$A75,0)),"")</f>
        <v/>
      </c>
      <c r="C75" t="str" cm="1">
        <f t="array" ref="C75">IF(IFERROR(MAX(_xlfn._xlws.FILTER(Tabla1[[#Data],[Temperatura]],Tabla1[[ID]:[ID]]=$A75,0)),"")=0,"",IFERROR(MAX(_xlfn._xlws.FILTER(Tabla1[[#Data],[Temperatura]],Tabla1[[ID]:[ID]]=$A75,0)),""))</f>
        <v/>
      </c>
      <c r="D75" t="str" cm="1">
        <f t="array" ref="D75">IF(IFERROR(MIN(_xlfn._xlws.FILTER(Tabla1[[#Data],[Temperatura]],Tabla1[[ID]:[ID]]=$A75,0)),"")=0,"",IFERROR(MIN(_xlfn._xlws.FILTER(Tabla1[[#Data],[Temperatura]],Tabla1[[ID]:[ID]]=$A75,0)),""))</f>
        <v/>
      </c>
      <c r="E75" t="str" cm="1">
        <f t="array" ref="E75">IFERROR(AVERAGE(_xlfn._xlws.FILTER(Tabla1[[#Data],[Humidade]],Tabla1[[ID]:[ID]]=$A75,0)),"")</f>
        <v/>
      </c>
      <c r="F75" t="str" cm="1">
        <f t="array" ref="F75">IF(IFERROR(MAX(_xlfn._xlws.FILTER(Tabla1[[#Data],[Humidade]],Tabla1[[ID]:[ID]]=$A75,0)),"")=0,"",IFERROR(MAX(_xlfn._xlws.FILTER(Tabla1[[#Data],[Humidade]],Tabla1[[ID]:[ID]]=$A75,0)),""))</f>
        <v/>
      </c>
      <c r="G75" t="str" cm="1">
        <f t="array" ref="G75">IF(IFERROR(MIN(_xlfn._xlws.FILTER(Tabla1[[#Data],[Humidade]],Tabla1[[ID]:[ID]]=$A75,0)),"")=0,"",IFERROR(MIN(_xlfn._xlws.FILTER(Tabla1[[#Data],[Humidade]],Tabla1[[ID]:[ID]]=$A75,0)),""))</f>
        <v/>
      </c>
      <c r="H75" t="str" cm="1">
        <f t="array" ref="H75">IFERROR(AVERAGE(_xlfn._xlws.FILTER(Tabla1[[#Data],[AcX]],Tabla1[[ID]:[ID]]=$A75,0)),"")</f>
        <v/>
      </c>
      <c r="I75" t="str" cm="1">
        <f t="array" ref="I75">IF(IFERROR(MAX(_xlfn._xlws.FILTER(Tabla1[[#Data],[AcX]],Tabla1[[ID]:[ID]]=$A75,0)),"")=0,"",IFERROR(MAX(_xlfn._xlws.FILTER(Tabla1[[#Data],[AcX]],Tabla1[[ID]:[ID]]=$A75,0)),""))</f>
        <v/>
      </c>
      <c r="J75" t="str" cm="1">
        <f t="array" ref="J75">IF(IFERROR(MIN(_xlfn._xlws.FILTER(Tabla1[[#Data],[AcX]],Tabla1[[ID]:[ID]]=$A75,0)),"")=0,"",IFERROR(MIN(_xlfn._xlws.FILTER(Tabla1[[#Data],[AcX]],Tabla1[[ID]:[ID]]=$A75,0)),""))</f>
        <v/>
      </c>
      <c r="K75" t="str" cm="1">
        <f t="array" ref="K75">IFERROR(AVERAGE(_xlfn._xlws.FILTER(Tabla1[[#Data],[AcY]],Tabla1[[ID]:[ID]]=$A75,0)),"")</f>
        <v/>
      </c>
      <c r="L75" t="str" cm="1">
        <f t="array" ref="L75">IF(IFERROR(MAX(_xlfn._xlws.FILTER(Tabla1[[#Data],[AcY]],Tabla1[[ID]:[ID]]=$A75,0)),"")=0,"",IFERROR(MAX(_xlfn._xlws.FILTER(Tabla1[[#Data],[AcY]],Tabla1[[ID]:[ID]]=$A75,0)),""))</f>
        <v/>
      </c>
      <c r="M75" t="str" cm="1">
        <f t="array" ref="M75">IF(IFERROR(MIN(_xlfn._xlws.FILTER(Tabla1[[#Data],[AcY]],Tabla1[[ID]:[ID]]=$A75,0)),"")=0,"",IFERROR(MIN(_xlfn._xlws.FILTER(Tabla1[[#Data],[AcY]],Tabla1[[ID]:[ID]]=$A75,0)),""))</f>
        <v/>
      </c>
      <c r="N75" t="str" cm="1">
        <f t="array" ref="N75">IFERROR(AVERAGE(_xlfn._xlws.FILTER(Tabla1[[#Data],[AcZ]],Tabla1[[ID]:[ID]]=$A75,0)),"")</f>
        <v/>
      </c>
      <c r="O75" t="str" cm="1">
        <f t="array" ref="O75">IF(IFERROR(MAX(_xlfn._xlws.FILTER(Tabla1[[#Data],[AcZ]],Tabla1[[ID]:[ID]]=$A75,0)),"")=0,"",IFERROR(MAX(_xlfn._xlws.FILTER(Tabla1[[#Data],[AcZ]],Tabla1[[ID]:[ID]]=$A75,0)),""))</f>
        <v/>
      </c>
      <c r="P75" t="str" cm="1">
        <f t="array" ref="P75">IF(IFERROR(MIN(_xlfn._xlws.FILTER(Tabla1[[#Data],[AcZ]],Tabla1[[ID]:[ID]]=$A75,0)),"")=0,"",IFERROR(MIN(_xlfn._xlws.FILTER(Tabla1[[#Data],[AcZ]],Tabla1[[ID]:[ID]]=$A75,0)),""))</f>
        <v/>
      </c>
      <c r="Q75" t="str" cm="1">
        <f t="array" ref="Q75">IFERROR(AVERAGE(_xlfn._xlws.FILTER(Tabla1[[#Data],[GyX]],Tabla1[[ID]:[ID]]=$A75,0)),"")</f>
        <v/>
      </c>
      <c r="R75" t="str" cm="1">
        <f t="array" ref="R75">IF(IFERROR(MAX(_xlfn._xlws.FILTER(Tabla1[[#Data],[GyX]],Tabla1[[ID]:[ID]]=$A75,0)),"")=0,"",IFERROR(MAX(_xlfn._xlws.FILTER(Tabla1[[#Data],[GyX]],Tabla1[[ID]:[ID]]=$A75,0)),""))</f>
        <v/>
      </c>
      <c r="S75" t="str" cm="1">
        <f t="array" ref="S75">IF(IFERROR(MIN(_xlfn._xlws.FILTER(Tabla1[[#Data],[GyX]],Tabla1[[ID]:[ID]]=$A75,0)),"")=0,"",IFERROR(MIN(_xlfn._xlws.FILTER(Tabla1[[#Data],[GyX]],Tabla1[[ID]:[ID]]=$A75,0)),""))</f>
        <v/>
      </c>
      <c r="T75" t="str" cm="1">
        <f t="array" ref="T75">IFERROR(AVERAGE(_xlfn._xlws.FILTER(Tabla1[[#Data],[GyY]],Tabla1[[ID]:[ID]]=$A75,0)),"")</f>
        <v/>
      </c>
      <c r="U75" t="str" cm="1">
        <f t="array" ref="U75">IF(IFERROR(MAX(_xlfn._xlws.FILTER(Tabla1[[#Data],[GyY]],Tabla1[[ID]:[ID]]=$A75,0)),"")=0,"",IFERROR(MAX(_xlfn._xlws.FILTER(Tabla1[[#Data],[GyY]],Tabla1[[ID]:[ID]]=$A75,0)),""))</f>
        <v/>
      </c>
      <c r="V75" t="str" cm="1">
        <f t="array" ref="V75">IF(IFERROR(MIN(_xlfn._xlws.FILTER(Tabla1[[#Data],[GyY]],Tabla1[[ID]:[ID]]=$A75,0)),"")=0,"",IFERROR(MIN(_xlfn._xlws.FILTER(Tabla1[[#Data],[GyY]],Tabla1[[ID]:[ID]]=$A75,0)),""))</f>
        <v/>
      </c>
      <c r="W75" t="str" cm="1">
        <f t="array" ref="W75">IFERROR(AVERAGE(_xlfn._xlws.FILTER(Tabla1[[#Data],[GyZ]],Tabla1[[ID]:[ID]]=$A75,0)),"")</f>
        <v/>
      </c>
      <c r="X75" t="str" cm="1">
        <f t="array" ref="X75">IF(IFERROR(MAX(_xlfn._xlws.FILTER(Tabla1[[#Data],[GyZ]],Tabla1[[ID]:[ID]]=$A75,0)),"")=0,"",IFERROR(MAX(_xlfn._xlws.FILTER(Tabla1[[#Data],[GyZ]],Tabla1[[ID]:[ID]]=$A75,0)),""))</f>
        <v/>
      </c>
      <c r="Y75" t="str" cm="1">
        <f t="array" ref="Y75">IF(IFERROR(MIN(_xlfn._xlws.FILTER(Tabla1[[#Data],[GyZ]],Tabla1[[ID]:[ID]]=$A75,0)),"")=0,"",IFERROR(MIN(_xlfn._xlws.FILTER(Tabla1[[#Data],[GyZ]],Tabla1[[ID]:[ID]]=$A75,0)),""))</f>
        <v/>
      </c>
      <c r="Z75" t="str" cm="1">
        <f t="array" ref="Z75">IF(ISNUMBER(A75),IF(ISNUMBER(MATCH(1,_xlfn._xlws.FILTER(Tabla1[[#Data],[Open]],Tabla1[[ID]:[ID]]=$A75,""))),1,0),"")</f>
        <v/>
      </c>
      <c r="AA75" t="str">
        <f t="shared" si="10"/>
        <v/>
      </c>
      <c r="AB75" t="str">
        <f t="shared" si="11"/>
        <v/>
      </c>
      <c r="AC75" t="str">
        <f t="shared" si="12"/>
        <v/>
      </c>
      <c r="AD75" t="str">
        <f t="shared" si="13"/>
        <v/>
      </c>
      <c r="AE75" t="str">
        <f t="shared" si="14"/>
        <v/>
      </c>
      <c r="AF75" t="str">
        <f t="shared" si="15"/>
        <v/>
      </c>
      <c r="AG75" t="str">
        <f t="shared" si="16"/>
        <v/>
      </c>
      <c r="AH75" t="str">
        <f t="shared" si="17"/>
        <v/>
      </c>
      <c r="AI75" t="str">
        <f t="shared" si="18"/>
        <v/>
      </c>
      <c r="AJ75" t="str">
        <f t="shared" si="19"/>
        <v/>
      </c>
    </row>
    <row r="76" spans="2:36" x14ac:dyDescent="0.35">
      <c r="B76" t="str" cm="1">
        <f t="array" ref="B76">IFERROR(AVERAGE(_xlfn._xlws.FILTER(Tabla1[[#Data],[Temperatura]],Tabla1[[ID]:[ID]]=$A76,0)),"")</f>
        <v/>
      </c>
      <c r="C76" t="str" cm="1">
        <f t="array" ref="C76">IF(IFERROR(MAX(_xlfn._xlws.FILTER(Tabla1[[#Data],[Temperatura]],Tabla1[[ID]:[ID]]=$A76,0)),"")=0,"",IFERROR(MAX(_xlfn._xlws.FILTER(Tabla1[[#Data],[Temperatura]],Tabla1[[ID]:[ID]]=$A76,0)),""))</f>
        <v/>
      </c>
      <c r="D76" t="str" cm="1">
        <f t="array" ref="D76">IF(IFERROR(MIN(_xlfn._xlws.FILTER(Tabla1[[#Data],[Temperatura]],Tabla1[[ID]:[ID]]=$A76,0)),"")=0,"",IFERROR(MIN(_xlfn._xlws.FILTER(Tabla1[[#Data],[Temperatura]],Tabla1[[ID]:[ID]]=$A76,0)),""))</f>
        <v/>
      </c>
      <c r="E76" t="str" cm="1">
        <f t="array" ref="E76">IFERROR(AVERAGE(_xlfn._xlws.FILTER(Tabla1[[#Data],[Humidade]],Tabla1[[ID]:[ID]]=$A76,0)),"")</f>
        <v/>
      </c>
      <c r="F76" t="str" cm="1">
        <f t="array" ref="F76">IF(IFERROR(MAX(_xlfn._xlws.FILTER(Tabla1[[#Data],[Humidade]],Tabla1[[ID]:[ID]]=$A76,0)),"")=0,"",IFERROR(MAX(_xlfn._xlws.FILTER(Tabla1[[#Data],[Humidade]],Tabla1[[ID]:[ID]]=$A76,0)),""))</f>
        <v/>
      </c>
      <c r="G76" t="str" cm="1">
        <f t="array" ref="G76">IF(IFERROR(MIN(_xlfn._xlws.FILTER(Tabla1[[#Data],[Humidade]],Tabla1[[ID]:[ID]]=$A76,0)),"")=0,"",IFERROR(MIN(_xlfn._xlws.FILTER(Tabla1[[#Data],[Humidade]],Tabla1[[ID]:[ID]]=$A76,0)),""))</f>
        <v/>
      </c>
      <c r="H76" t="str" cm="1">
        <f t="array" ref="H76">IFERROR(AVERAGE(_xlfn._xlws.FILTER(Tabla1[[#Data],[AcX]],Tabla1[[ID]:[ID]]=$A76,0)),"")</f>
        <v/>
      </c>
      <c r="I76" t="str" cm="1">
        <f t="array" ref="I76">IF(IFERROR(MAX(_xlfn._xlws.FILTER(Tabla1[[#Data],[AcX]],Tabla1[[ID]:[ID]]=$A76,0)),"")=0,"",IFERROR(MAX(_xlfn._xlws.FILTER(Tabla1[[#Data],[AcX]],Tabla1[[ID]:[ID]]=$A76,0)),""))</f>
        <v/>
      </c>
      <c r="J76" t="str" cm="1">
        <f t="array" ref="J76">IF(IFERROR(MIN(_xlfn._xlws.FILTER(Tabla1[[#Data],[AcX]],Tabla1[[ID]:[ID]]=$A76,0)),"")=0,"",IFERROR(MIN(_xlfn._xlws.FILTER(Tabla1[[#Data],[AcX]],Tabla1[[ID]:[ID]]=$A76,0)),""))</f>
        <v/>
      </c>
      <c r="K76" t="str" cm="1">
        <f t="array" ref="K76">IFERROR(AVERAGE(_xlfn._xlws.FILTER(Tabla1[[#Data],[AcY]],Tabla1[[ID]:[ID]]=$A76,0)),"")</f>
        <v/>
      </c>
      <c r="L76" t="str" cm="1">
        <f t="array" ref="L76">IF(IFERROR(MAX(_xlfn._xlws.FILTER(Tabla1[[#Data],[AcY]],Tabla1[[ID]:[ID]]=$A76,0)),"")=0,"",IFERROR(MAX(_xlfn._xlws.FILTER(Tabla1[[#Data],[AcY]],Tabla1[[ID]:[ID]]=$A76,0)),""))</f>
        <v/>
      </c>
      <c r="M76" t="str" cm="1">
        <f t="array" ref="M76">IF(IFERROR(MIN(_xlfn._xlws.FILTER(Tabla1[[#Data],[AcY]],Tabla1[[ID]:[ID]]=$A76,0)),"")=0,"",IFERROR(MIN(_xlfn._xlws.FILTER(Tabla1[[#Data],[AcY]],Tabla1[[ID]:[ID]]=$A76,0)),""))</f>
        <v/>
      </c>
      <c r="N76" t="str" cm="1">
        <f t="array" ref="N76">IFERROR(AVERAGE(_xlfn._xlws.FILTER(Tabla1[[#Data],[AcZ]],Tabla1[[ID]:[ID]]=$A76,0)),"")</f>
        <v/>
      </c>
      <c r="O76" t="str" cm="1">
        <f t="array" ref="O76">IF(IFERROR(MAX(_xlfn._xlws.FILTER(Tabla1[[#Data],[AcZ]],Tabla1[[ID]:[ID]]=$A76,0)),"")=0,"",IFERROR(MAX(_xlfn._xlws.FILTER(Tabla1[[#Data],[AcZ]],Tabla1[[ID]:[ID]]=$A76,0)),""))</f>
        <v/>
      </c>
      <c r="P76" t="str" cm="1">
        <f t="array" ref="P76">IF(IFERROR(MIN(_xlfn._xlws.FILTER(Tabla1[[#Data],[AcZ]],Tabla1[[ID]:[ID]]=$A76,0)),"")=0,"",IFERROR(MIN(_xlfn._xlws.FILTER(Tabla1[[#Data],[AcZ]],Tabla1[[ID]:[ID]]=$A76,0)),""))</f>
        <v/>
      </c>
      <c r="Q76" t="str" cm="1">
        <f t="array" ref="Q76">IFERROR(AVERAGE(_xlfn._xlws.FILTER(Tabla1[[#Data],[GyX]],Tabla1[[ID]:[ID]]=$A76,0)),"")</f>
        <v/>
      </c>
      <c r="R76" t="str" cm="1">
        <f t="array" ref="R76">IF(IFERROR(MAX(_xlfn._xlws.FILTER(Tabla1[[#Data],[GyX]],Tabla1[[ID]:[ID]]=$A76,0)),"")=0,"",IFERROR(MAX(_xlfn._xlws.FILTER(Tabla1[[#Data],[GyX]],Tabla1[[ID]:[ID]]=$A76,0)),""))</f>
        <v/>
      </c>
      <c r="S76" t="str" cm="1">
        <f t="array" ref="S76">IF(IFERROR(MIN(_xlfn._xlws.FILTER(Tabla1[[#Data],[GyX]],Tabla1[[ID]:[ID]]=$A76,0)),"")=0,"",IFERROR(MIN(_xlfn._xlws.FILTER(Tabla1[[#Data],[GyX]],Tabla1[[ID]:[ID]]=$A76,0)),""))</f>
        <v/>
      </c>
      <c r="T76" t="str" cm="1">
        <f t="array" ref="T76">IFERROR(AVERAGE(_xlfn._xlws.FILTER(Tabla1[[#Data],[GyY]],Tabla1[[ID]:[ID]]=$A76,0)),"")</f>
        <v/>
      </c>
      <c r="U76" t="str" cm="1">
        <f t="array" ref="U76">IF(IFERROR(MAX(_xlfn._xlws.FILTER(Tabla1[[#Data],[GyY]],Tabla1[[ID]:[ID]]=$A76,0)),"")=0,"",IFERROR(MAX(_xlfn._xlws.FILTER(Tabla1[[#Data],[GyY]],Tabla1[[ID]:[ID]]=$A76,0)),""))</f>
        <v/>
      </c>
      <c r="V76" t="str" cm="1">
        <f t="array" ref="V76">IF(IFERROR(MIN(_xlfn._xlws.FILTER(Tabla1[[#Data],[GyY]],Tabla1[[ID]:[ID]]=$A76,0)),"")=0,"",IFERROR(MIN(_xlfn._xlws.FILTER(Tabla1[[#Data],[GyY]],Tabla1[[ID]:[ID]]=$A76,0)),""))</f>
        <v/>
      </c>
      <c r="W76" t="str" cm="1">
        <f t="array" ref="W76">IFERROR(AVERAGE(_xlfn._xlws.FILTER(Tabla1[[#Data],[GyZ]],Tabla1[[ID]:[ID]]=$A76,0)),"")</f>
        <v/>
      </c>
      <c r="X76" t="str" cm="1">
        <f t="array" ref="X76">IF(IFERROR(MAX(_xlfn._xlws.FILTER(Tabla1[[#Data],[GyZ]],Tabla1[[ID]:[ID]]=$A76,0)),"")=0,"",IFERROR(MAX(_xlfn._xlws.FILTER(Tabla1[[#Data],[GyZ]],Tabla1[[ID]:[ID]]=$A76,0)),""))</f>
        <v/>
      </c>
      <c r="Y76" t="str" cm="1">
        <f t="array" ref="Y76">IF(IFERROR(MIN(_xlfn._xlws.FILTER(Tabla1[[#Data],[GyZ]],Tabla1[[ID]:[ID]]=$A76,0)),"")=0,"",IFERROR(MIN(_xlfn._xlws.FILTER(Tabla1[[#Data],[GyZ]],Tabla1[[ID]:[ID]]=$A76,0)),""))</f>
        <v/>
      </c>
      <c r="Z76" t="str" cm="1">
        <f t="array" ref="Z76">IF(ISNUMBER(A76),IF(ISNUMBER(MATCH(1,_xlfn._xlws.FILTER(Tabla1[[#Data],[Open]],Tabla1[[ID]:[ID]]=$A76,""))),1,0),"")</f>
        <v/>
      </c>
      <c r="AA76" t="str">
        <f t="shared" si="10"/>
        <v/>
      </c>
      <c r="AB76" t="str">
        <f t="shared" si="11"/>
        <v/>
      </c>
      <c r="AC76" t="str">
        <f t="shared" si="12"/>
        <v/>
      </c>
      <c r="AD76" t="str">
        <f t="shared" si="13"/>
        <v/>
      </c>
      <c r="AE76" t="str">
        <f t="shared" si="14"/>
        <v/>
      </c>
      <c r="AF76" t="str">
        <f t="shared" si="15"/>
        <v/>
      </c>
      <c r="AG76" t="str">
        <f t="shared" si="16"/>
        <v/>
      </c>
      <c r="AH76" t="str">
        <f t="shared" si="17"/>
        <v/>
      </c>
      <c r="AI76" t="str">
        <f t="shared" si="18"/>
        <v/>
      </c>
      <c r="AJ76" t="str">
        <f t="shared" si="19"/>
        <v/>
      </c>
    </row>
    <row r="77" spans="2:36" x14ac:dyDescent="0.35">
      <c r="B77" t="str" cm="1">
        <f t="array" ref="B77">IFERROR(AVERAGE(_xlfn._xlws.FILTER(Tabla1[[#Data],[Temperatura]],Tabla1[[ID]:[ID]]=$A77,0)),"")</f>
        <v/>
      </c>
      <c r="C77" t="str" cm="1">
        <f t="array" ref="C77">IF(IFERROR(MAX(_xlfn._xlws.FILTER(Tabla1[[#Data],[Temperatura]],Tabla1[[ID]:[ID]]=$A77,0)),"")=0,"",IFERROR(MAX(_xlfn._xlws.FILTER(Tabla1[[#Data],[Temperatura]],Tabla1[[ID]:[ID]]=$A77,0)),""))</f>
        <v/>
      </c>
      <c r="D77" t="str" cm="1">
        <f t="array" ref="D77">IF(IFERROR(MIN(_xlfn._xlws.FILTER(Tabla1[[#Data],[Temperatura]],Tabla1[[ID]:[ID]]=$A77,0)),"")=0,"",IFERROR(MIN(_xlfn._xlws.FILTER(Tabla1[[#Data],[Temperatura]],Tabla1[[ID]:[ID]]=$A77,0)),""))</f>
        <v/>
      </c>
      <c r="E77" t="str" cm="1">
        <f t="array" ref="E77">IFERROR(AVERAGE(_xlfn._xlws.FILTER(Tabla1[[#Data],[Humidade]],Tabla1[[ID]:[ID]]=$A77,0)),"")</f>
        <v/>
      </c>
      <c r="F77" t="str" cm="1">
        <f t="array" ref="F77">IF(IFERROR(MAX(_xlfn._xlws.FILTER(Tabla1[[#Data],[Humidade]],Tabla1[[ID]:[ID]]=$A77,0)),"")=0,"",IFERROR(MAX(_xlfn._xlws.FILTER(Tabla1[[#Data],[Humidade]],Tabla1[[ID]:[ID]]=$A77,0)),""))</f>
        <v/>
      </c>
      <c r="G77" t="str" cm="1">
        <f t="array" ref="G77">IF(IFERROR(MIN(_xlfn._xlws.FILTER(Tabla1[[#Data],[Humidade]],Tabla1[[ID]:[ID]]=$A77,0)),"")=0,"",IFERROR(MIN(_xlfn._xlws.FILTER(Tabla1[[#Data],[Humidade]],Tabla1[[ID]:[ID]]=$A77,0)),""))</f>
        <v/>
      </c>
      <c r="H77" t="str" cm="1">
        <f t="array" ref="H77">IFERROR(AVERAGE(_xlfn._xlws.FILTER(Tabla1[[#Data],[AcX]],Tabla1[[ID]:[ID]]=$A77,0)),"")</f>
        <v/>
      </c>
      <c r="I77" t="str" cm="1">
        <f t="array" ref="I77">IF(IFERROR(MAX(_xlfn._xlws.FILTER(Tabla1[[#Data],[AcX]],Tabla1[[ID]:[ID]]=$A77,0)),"")=0,"",IFERROR(MAX(_xlfn._xlws.FILTER(Tabla1[[#Data],[AcX]],Tabla1[[ID]:[ID]]=$A77,0)),""))</f>
        <v/>
      </c>
      <c r="J77" t="str" cm="1">
        <f t="array" ref="J77">IF(IFERROR(MIN(_xlfn._xlws.FILTER(Tabla1[[#Data],[AcX]],Tabla1[[ID]:[ID]]=$A77,0)),"")=0,"",IFERROR(MIN(_xlfn._xlws.FILTER(Tabla1[[#Data],[AcX]],Tabla1[[ID]:[ID]]=$A77,0)),""))</f>
        <v/>
      </c>
      <c r="K77" t="str" cm="1">
        <f t="array" ref="K77">IFERROR(AVERAGE(_xlfn._xlws.FILTER(Tabla1[[#Data],[AcY]],Tabla1[[ID]:[ID]]=$A77,0)),"")</f>
        <v/>
      </c>
      <c r="L77" t="str" cm="1">
        <f t="array" ref="L77">IF(IFERROR(MAX(_xlfn._xlws.FILTER(Tabla1[[#Data],[AcY]],Tabla1[[ID]:[ID]]=$A77,0)),"")=0,"",IFERROR(MAX(_xlfn._xlws.FILTER(Tabla1[[#Data],[AcY]],Tabla1[[ID]:[ID]]=$A77,0)),""))</f>
        <v/>
      </c>
      <c r="M77" t="str" cm="1">
        <f t="array" ref="M77">IF(IFERROR(MIN(_xlfn._xlws.FILTER(Tabla1[[#Data],[AcY]],Tabla1[[ID]:[ID]]=$A77,0)),"")=0,"",IFERROR(MIN(_xlfn._xlws.FILTER(Tabla1[[#Data],[AcY]],Tabla1[[ID]:[ID]]=$A77,0)),""))</f>
        <v/>
      </c>
      <c r="N77" t="str" cm="1">
        <f t="array" ref="N77">IFERROR(AVERAGE(_xlfn._xlws.FILTER(Tabla1[[#Data],[AcZ]],Tabla1[[ID]:[ID]]=$A77,0)),"")</f>
        <v/>
      </c>
      <c r="O77" t="str" cm="1">
        <f t="array" ref="O77">IF(IFERROR(MAX(_xlfn._xlws.FILTER(Tabla1[[#Data],[AcZ]],Tabla1[[ID]:[ID]]=$A77,0)),"")=0,"",IFERROR(MAX(_xlfn._xlws.FILTER(Tabla1[[#Data],[AcZ]],Tabla1[[ID]:[ID]]=$A77,0)),""))</f>
        <v/>
      </c>
      <c r="P77" t="str" cm="1">
        <f t="array" ref="P77">IF(IFERROR(MIN(_xlfn._xlws.FILTER(Tabla1[[#Data],[AcZ]],Tabla1[[ID]:[ID]]=$A77,0)),"")=0,"",IFERROR(MIN(_xlfn._xlws.FILTER(Tabla1[[#Data],[AcZ]],Tabla1[[ID]:[ID]]=$A77,0)),""))</f>
        <v/>
      </c>
      <c r="Q77" t="str" cm="1">
        <f t="array" ref="Q77">IFERROR(AVERAGE(_xlfn._xlws.FILTER(Tabla1[[#Data],[GyX]],Tabla1[[ID]:[ID]]=$A77,0)),"")</f>
        <v/>
      </c>
      <c r="R77" t="str" cm="1">
        <f t="array" ref="R77">IF(IFERROR(MAX(_xlfn._xlws.FILTER(Tabla1[[#Data],[GyX]],Tabla1[[ID]:[ID]]=$A77,0)),"")=0,"",IFERROR(MAX(_xlfn._xlws.FILTER(Tabla1[[#Data],[GyX]],Tabla1[[ID]:[ID]]=$A77,0)),""))</f>
        <v/>
      </c>
      <c r="S77" t="str" cm="1">
        <f t="array" ref="S77">IF(IFERROR(MIN(_xlfn._xlws.FILTER(Tabla1[[#Data],[GyX]],Tabla1[[ID]:[ID]]=$A77,0)),"")=0,"",IFERROR(MIN(_xlfn._xlws.FILTER(Tabla1[[#Data],[GyX]],Tabla1[[ID]:[ID]]=$A77,0)),""))</f>
        <v/>
      </c>
      <c r="T77" t="str" cm="1">
        <f t="array" ref="T77">IFERROR(AVERAGE(_xlfn._xlws.FILTER(Tabla1[[#Data],[GyY]],Tabla1[[ID]:[ID]]=$A77,0)),"")</f>
        <v/>
      </c>
      <c r="U77" t="str" cm="1">
        <f t="array" ref="U77">IF(IFERROR(MAX(_xlfn._xlws.FILTER(Tabla1[[#Data],[GyY]],Tabla1[[ID]:[ID]]=$A77,0)),"")=0,"",IFERROR(MAX(_xlfn._xlws.FILTER(Tabla1[[#Data],[GyY]],Tabla1[[ID]:[ID]]=$A77,0)),""))</f>
        <v/>
      </c>
      <c r="V77" t="str" cm="1">
        <f t="array" ref="V77">IF(IFERROR(MIN(_xlfn._xlws.FILTER(Tabla1[[#Data],[GyY]],Tabla1[[ID]:[ID]]=$A77,0)),"")=0,"",IFERROR(MIN(_xlfn._xlws.FILTER(Tabla1[[#Data],[GyY]],Tabla1[[ID]:[ID]]=$A77,0)),""))</f>
        <v/>
      </c>
      <c r="W77" t="str" cm="1">
        <f t="array" ref="W77">IFERROR(AVERAGE(_xlfn._xlws.FILTER(Tabla1[[#Data],[GyZ]],Tabla1[[ID]:[ID]]=$A77,0)),"")</f>
        <v/>
      </c>
      <c r="X77" t="str" cm="1">
        <f t="array" ref="X77">IF(IFERROR(MAX(_xlfn._xlws.FILTER(Tabla1[[#Data],[GyZ]],Tabla1[[ID]:[ID]]=$A77,0)),"")=0,"",IFERROR(MAX(_xlfn._xlws.FILTER(Tabla1[[#Data],[GyZ]],Tabla1[[ID]:[ID]]=$A77,0)),""))</f>
        <v/>
      </c>
      <c r="Y77" t="str" cm="1">
        <f t="array" ref="Y77">IF(IFERROR(MIN(_xlfn._xlws.FILTER(Tabla1[[#Data],[GyZ]],Tabla1[[ID]:[ID]]=$A77,0)),"")=0,"",IFERROR(MIN(_xlfn._xlws.FILTER(Tabla1[[#Data],[GyZ]],Tabla1[[ID]:[ID]]=$A77,0)),""))</f>
        <v/>
      </c>
      <c r="Z77" t="str" cm="1">
        <f t="array" ref="Z77">IF(ISNUMBER(A77),IF(ISNUMBER(MATCH(1,_xlfn._xlws.FILTER(Tabla1[[#Data],[Open]],Tabla1[[ID]:[ID]]=$A77,""))),1,0),"")</f>
        <v/>
      </c>
      <c r="AA77" t="str">
        <f t="shared" si="10"/>
        <v/>
      </c>
      <c r="AB77" t="str">
        <f t="shared" si="11"/>
        <v/>
      </c>
      <c r="AC77" t="str">
        <f t="shared" si="12"/>
        <v/>
      </c>
      <c r="AD77" t="str">
        <f t="shared" si="13"/>
        <v/>
      </c>
      <c r="AE77" t="str">
        <f t="shared" si="14"/>
        <v/>
      </c>
      <c r="AF77" t="str">
        <f t="shared" si="15"/>
        <v/>
      </c>
      <c r="AG77" t="str">
        <f t="shared" si="16"/>
        <v/>
      </c>
      <c r="AH77" t="str">
        <f t="shared" si="17"/>
        <v/>
      </c>
      <c r="AI77" t="str">
        <f t="shared" si="18"/>
        <v/>
      </c>
      <c r="AJ77" t="str">
        <f t="shared" si="19"/>
        <v/>
      </c>
    </row>
    <row r="78" spans="2:36" x14ac:dyDescent="0.35">
      <c r="B78" t="str" cm="1">
        <f t="array" ref="B78">IFERROR(AVERAGE(_xlfn._xlws.FILTER(Tabla1[[#Data],[Temperatura]],Tabla1[[ID]:[ID]]=$A78,0)),"")</f>
        <v/>
      </c>
      <c r="C78" t="str" cm="1">
        <f t="array" ref="C78">IF(IFERROR(MAX(_xlfn._xlws.FILTER(Tabla1[[#Data],[Temperatura]],Tabla1[[ID]:[ID]]=$A78,0)),"")=0,"",IFERROR(MAX(_xlfn._xlws.FILTER(Tabla1[[#Data],[Temperatura]],Tabla1[[ID]:[ID]]=$A78,0)),""))</f>
        <v/>
      </c>
      <c r="D78" t="str" cm="1">
        <f t="array" ref="D78">IF(IFERROR(MIN(_xlfn._xlws.FILTER(Tabla1[[#Data],[Temperatura]],Tabla1[[ID]:[ID]]=$A78,0)),"")=0,"",IFERROR(MIN(_xlfn._xlws.FILTER(Tabla1[[#Data],[Temperatura]],Tabla1[[ID]:[ID]]=$A78,0)),""))</f>
        <v/>
      </c>
      <c r="E78" t="str" cm="1">
        <f t="array" ref="E78">IFERROR(AVERAGE(_xlfn._xlws.FILTER(Tabla1[[#Data],[Humidade]],Tabla1[[ID]:[ID]]=$A78,0)),"")</f>
        <v/>
      </c>
      <c r="F78" t="str" cm="1">
        <f t="array" ref="F78">IF(IFERROR(MAX(_xlfn._xlws.FILTER(Tabla1[[#Data],[Humidade]],Tabla1[[ID]:[ID]]=$A78,0)),"")=0,"",IFERROR(MAX(_xlfn._xlws.FILTER(Tabla1[[#Data],[Humidade]],Tabla1[[ID]:[ID]]=$A78,0)),""))</f>
        <v/>
      </c>
      <c r="G78" t="str" cm="1">
        <f t="array" ref="G78">IF(IFERROR(MIN(_xlfn._xlws.FILTER(Tabla1[[#Data],[Humidade]],Tabla1[[ID]:[ID]]=$A78,0)),"")=0,"",IFERROR(MIN(_xlfn._xlws.FILTER(Tabla1[[#Data],[Humidade]],Tabla1[[ID]:[ID]]=$A78,0)),""))</f>
        <v/>
      </c>
      <c r="H78" t="str" cm="1">
        <f t="array" ref="H78">IFERROR(AVERAGE(_xlfn._xlws.FILTER(Tabla1[[#Data],[AcX]],Tabla1[[ID]:[ID]]=$A78,0)),"")</f>
        <v/>
      </c>
      <c r="I78" t="str" cm="1">
        <f t="array" ref="I78">IF(IFERROR(MAX(_xlfn._xlws.FILTER(Tabla1[[#Data],[AcX]],Tabla1[[ID]:[ID]]=$A78,0)),"")=0,"",IFERROR(MAX(_xlfn._xlws.FILTER(Tabla1[[#Data],[AcX]],Tabla1[[ID]:[ID]]=$A78,0)),""))</f>
        <v/>
      </c>
      <c r="J78" t="str" cm="1">
        <f t="array" ref="J78">IF(IFERROR(MIN(_xlfn._xlws.FILTER(Tabla1[[#Data],[AcX]],Tabla1[[ID]:[ID]]=$A78,0)),"")=0,"",IFERROR(MIN(_xlfn._xlws.FILTER(Tabla1[[#Data],[AcX]],Tabla1[[ID]:[ID]]=$A78,0)),""))</f>
        <v/>
      </c>
      <c r="K78" t="str" cm="1">
        <f t="array" ref="K78">IFERROR(AVERAGE(_xlfn._xlws.FILTER(Tabla1[[#Data],[AcY]],Tabla1[[ID]:[ID]]=$A78,0)),"")</f>
        <v/>
      </c>
      <c r="L78" t="str" cm="1">
        <f t="array" ref="L78">IF(IFERROR(MAX(_xlfn._xlws.FILTER(Tabla1[[#Data],[AcY]],Tabla1[[ID]:[ID]]=$A78,0)),"")=0,"",IFERROR(MAX(_xlfn._xlws.FILTER(Tabla1[[#Data],[AcY]],Tabla1[[ID]:[ID]]=$A78,0)),""))</f>
        <v/>
      </c>
      <c r="M78" t="str" cm="1">
        <f t="array" ref="M78">IF(IFERROR(MIN(_xlfn._xlws.FILTER(Tabla1[[#Data],[AcY]],Tabla1[[ID]:[ID]]=$A78,0)),"")=0,"",IFERROR(MIN(_xlfn._xlws.FILTER(Tabla1[[#Data],[AcY]],Tabla1[[ID]:[ID]]=$A78,0)),""))</f>
        <v/>
      </c>
      <c r="N78" t="str" cm="1">
        <f t="array" ref="N78">IFERROR(AVERAGE(_xlfn._xlws.FILTER(Tabla1[[#Data],[AcZ]],Tabla1[[ID]:[ID]]=$A78,0)),"")</f>
        <v/>
      </c>
      <c r="O78" t="str" cm="1">
        <f t="array" ref="O78">IF(IFERROR(MAX(_xlfn._xlws.FILTER(Tabla1[[#Data],[AcZ]],Tabla1[[ID]:[ID]]=$A78,0)),"")=0,"",IFERROR(MAX(_xlfn._xlws.FILTER(Tabla1[[#Data],[AcZ]],Tabla1[[ID]:[ID]]=$A78,0)),""))</f>
        <v/>
      </c>
      <c r="P78" t="str" cm="1">
        <f t="array" ref="P78">IF(IFERROR(MIN(_xlfn._xlws.FILTER(Tabla1[[#Data],[AcZ]],Tabla1[[ID]:[ID]]=$A78,0)),"")=0,"",IFERROR(MIN(_xlfn._xlws.FILTER(Tabla1[[#Data],[AcZ]],Tabla1[[ID]:[ID]]=$A78,0)),""))</f>
        <v/>
      </c>
      <c r="Q78" t="str" cm="1">
        <f t="array" ref="Q78">IFERROR(AVERAGE(_xlfn._xlws.FILTER(Tabla1[[#Data],[GyX]],Tabla1[[ID]:[ID]]=$A78,0)),"")</f>
        <v/>
      </c>
      <c r="R78" t="str" cm="1">
        <f t="array" ref="R78">IF(IFERROR(MAX(_xlfn._xlws.FILTER(Tabla1[[#Data],[GyX]],Tabla1[[ID]:[ID]]=$A78,0)),"")=0,"",IFERROR(MAX(_xlfn._xlws.FILTER(Tabla1[[#Data],[GyX]],Tabla1[[ID]:[ID]]=$A78,0)),""))</f>
        <v/>
      </c>
      <c r="S78" t="str" cm="1">
        <f t="array" ref="S78">IF(IFERROR(MIN(_xlfn._xlws.FILTER(Tabla1[[#Data],[GyX]],Tabla1[[ID]:[ID]]=$A78,0)),"")=0,"",IFERROR(MIN(_xlfn._xlws.FILTER(Tabla1[[#Data],[GyX]],Tabla1[[ID]:[ID]]=$A78,0)),""))</f>
        <v/>
      </c>
      <c r="T78" t="str" cm="1">
        <f t="array" ref="T78">IFERROR(AVERAGE(_xlfn._xlws.FILTER(Tabla1[[#Data],[GyY]],Tabla1[[ID]:[ID]]=$A78,0)),"")</f>
        <v/>
      </c>
      <c r="U78" t="str" cm="1">
        <f t="array" ref="U78">IF(IFERROR(MAX(_xlfn._xlws.FILTER(Tabla1[[#Data],[GyY]],Tabla1[[ID]:[ID]]=$A78,0)),"")=0,"",IFERROR(MAX(_xlfn._xlws.FILTER(Tabla1[[#Data],[GyY]],Tabla1[[ID]:[ID]]=$A78,0)),""))</f>
        <v/>
      </c>
      <c r="V78" t="str" cm="1">
        <f t="array" ref="V78">IF(IFERROR(MIN(_xlfn._xlws.FILTER(Tabla1[[#Data],[GyY]],Tabla1[[ID]:[ID]]=$A78,0)),"")=0,"",IFERROR(MIN(_xlfn._xlws.FILTER(Tabla1[[#Data],[GyY]],Tabla1[[ID]:[ID]]=$A78,0)),""))</f>
        <v/>
      </c>
      <c r="W78" t="str" cm="1">
        <f t="array" ref="W78">IFERROR(AVERAGE(_xlfn._xlws.FILTER(Tabla1[[#Data],[GyZ]],Tabla1[[ID]:[ID]]=$A78,0)),"")</f>
        <v/>
      </c>
      <c r="X78" t="str" cm="1">
        <f t="array" ref="X78">IF(IFERROR(MAX(_xlfn._xlws.FILTER(Tabla1[[#Data],[GyZ]],Tabla1[[ID]:[ID]]=$A78,0)),"")=0,"",IFERROR(MAX(_xlfn._xlws.FILTER(Tabla1[[#Data],[GyZ]],Tabla1[[ID]:[ID]]=$A78,0)),""))</f>
        <v/>
      </c>
      <c r="Y78" t="str" cm="1">
        <f t="array" ref="Y78">IF(IFERROR(MIN(_xlfn._xlws.FILTER(Tabla1[[#Data],[GyZ]],Tabla1[[ID]:[ID]]=$A78,0)),"")=0,"",IFERROR(MIN(_xlfn._xlws.FILTER(Tabla1[[#Data],[GyZ]],Tabla1[[ID]:[ID]]=$A78,0)),""))</f>
        <v/>
      </c>
      <c r="Z78" t="str" cm="1">
        <f t="array" ref="Z78">IF(ISNUMBER(A78),IF(ISNUMBER(MATCH(1,_xlfn._xlws.FILTER(Tabla1[[#Data],[Open]],Tabla1[[ID]:[ID]]=$A78,""))),1,0),"")</f>
        <v/>
      </c>
      <c r="AA78" t="str">
        <f t="shared" si="10"/>
        <v/>
      </c>
      <c r="AB78" t="str">
        <f t="shared" si="11"/>
        <v/>
      </c>
      <c r="AC78" t="str">
        <f t="shared" si="12"/>
        <v/>
      </c>
      <c r="AD78" t="str">
        <f t="shared" si="13"/>
        <v/>
      </c>
      <c r="AE78" t="str">
        <f t="shared" si="14"/>
        <v/>
      </c>
      <c r="AF78" t="str">
        <f t="shared" si="15"/>
        <v/>
      </c>
      <c r="AG78" t="str">
        <f t="shared" si="16"/>
        <v/>
      </c>
      <c r="AH78" t="str">
        <f t="shared" si="17"/>
        <v/>
      </c>
      <c r="AI78" t="str">
        <f t="shared" si="18"/>
        <v/>
      </c>
      <c r="AJ78" t="str">
        <f t="shared" si="19"/>
        <v/>
      </c>
    </row>
    <row r="79" spans="2:36" x14ac:dyDescent="0.35">
      <c r="B79" t="str" cm="1">
        <f t="array" ref="B79">IFERROR(AVERAGE(_xlfn._xlws.FILTER(Tabla1[[#Data],[Temperatura]],Tabla1[[ID]:[ID]]=$A79,0)),"")</f>
        <v/>
      </c>
      <c r="C79" t="str" cm="1">
        <f t="array" ref="C79">IF(IFERROR(MAX(_xlfn._xlws.FILTER(Tabla1[[#Data],[Temperatura]],Tabla1[[ID]:[ID]]=$A79,0)),"")=0,"",IFERROR(MAX(_xlfn._xlws.FILTER(Tabla1[[#Data],[Temperatura]],Tabla1[[ID]:[ID]]=$A79,0)),""))</f>
        <v/>
      </c>
      <c r="D79" t="str" cm="1">
        <f t="array" ref="D79">IF(IFERROR(MIN(_xlfn._xlws.FILTER(Tabla1[[#Data],[Temperatura]],Tabla1[[ID]:[ID]]=$A79,0)),"")=0,"",IFERROR(MIN(_xlfn._xlws.FILTER(Tabla1[[#Data],[Temperatura]],Tabla1[[ID]:[ID]]=$A79,0)),""))</f>
        <v/>
      </c>
      <c r="E79" t="str" cm="1">
        <f t="array" ref="E79">IFERROR(AVERAGE(_xlfn._xlws.FILTER(Tabla1[[#Data],[Humidade]],Tabla1[[ID]:[ID]]=$A79,0)),"")</f>
        <v/>
      </c>
      <c r="F79" t="str" cm="1">
        <f t="array" ref="F79">IF(IFERROR(MAX(_xlfn._xlws.FILTER(Tabla1[[#Data],[Humidade]],Tabla1[[ID]:[ID]]=$A79,0)),"")=0,"",IFERROR(MAX(_xlfn._xlws.FILTER(Tabla1[[#Data],[Humidade]],Tabla1[[ID]:[ID]]=$A79,0)),""))</f>
        <v/>
      </c>
      <c r="G79" t="str" cm="1">
        <f t="array" ref="G79">IF(IFERROR(MIN(_xlfn._xlws.FILTER(Tabla1[[#Data],[Humidade]],Tabla1[[ID]:[ID]]=$A79,0)),"")=0,"",IFERROR(MIN(_xlfn._xlws.FILTER(Tabla1[[#Data],[Humidade]],Tabla1[[ID]:[ID]]=$A79,0)),""))</f>
        <v/>
      </c>
      <c r="H79" t="str" cm="1">
        <f t="array" ref="H79">IFERROR(AVERAGE(_xlfn._xlws.FILTER(Tabla1[[#Data],[AcX]],Tabla1[[ID]:[ID]]=$A79,0)),"")</f>
        <v/>
      </c>
      <c r="I79" t="str" cm="1">
        <f t="array" ref="I79">IF(IFERROR(MAX(_xlfn._xlws.FILTER(Tabla1[[#Data],[AcX]],Tabla1[[ID]:[ID]]=$A79,0)),"")=0,"",IFERROR(MAX(_xlfn._xlws.FILTER(Tabla1[[#Data],[AcX]],Tabla1[[ID]:[ID]]=$A79,0)),""))</f>
        <v/>
      </c>
      <c r="J79" t="str" cm="1">
        <f t="array" ref="J79">IF(IFERROR(MIN(_xlfn._xlws.FILTER(Tabla1[[#Data],[AcX]],Tabla1[[ID]:[ID]]=$A79,0)),"")=0,"",IFERROR(MIN(_xlfn._xlws.FILTER(Tabla1[[#Data],[AcX]],Tabla1[[ID]:[ID]]=$A79,0)),""))</f>
        <v/>
      </c>
      <c r="K79" t="str" cm="1">
        <f t="array" ref="K79">IFERROR(AVERAGE(_xlfn._xlws.FILTER(Tabla1[[#Data],[AcY]],Tabla1[[ID]:[ID]]=$A79,0)),"")</f>
        <v/>
      </c>
      <c r="L79" t="str" cm="1">
        <f t="array" ref="L79">IF(IFERROR(MAX(_xlfn._xlws.FILTER(Tabla1[[#Data],[AcY]],Tabla1[[ID]:[ID]]=$A79,0)),"")=0,"",IFERROR(MAX(_xlfn._xlws.FILTER(Tabla1[[#Data],[AcY]],Tabla1[[ID]:[ID]]=$A79,0)),""))</f>
        <v/>
      </c>
      <c r="M79" t="str" cm="1">
        <f t="array" ref="M79">IF(IFERROR(MIN(_xlfn._xlws.FILTER(Tabla1[[#Data],[AcY]],Tabla1[[ID]:[ID]]=$A79,0)),"")=0,"",IFERROR(MIN(_xlfn._xlws.FILTER(Tabla1[[#Data],[AcY]],Tabla1[[ID]:[ID]]=$A79,0)),""))</f>
        <v/>
      </c>
      <c r="N79" t="str" cm="1">
        <f t="array" ref="N79">IFERROR(AVERAGE(_xlfn._xlws.FILTER(Tabla1[[#Data],[AcZ]],Tabla1[[ID]:[ID]]=$A79,0)),"")</f>
        <v/>
      </c>
      <c r="O79" t="str" cm="1">
        <f t="array" ref="O79">IF(IFERROR(MAX(_xlfn._xlws.FILTER(Tabla1[[#Data],[AcZ]],Tabla1[[ID]:[ID]]=$A79,0)),"")=0,"",IFERROR(MAX(_xlfn._xlws.FILTER(Tabla1[[#Data],[AcZ]],Tabla1[[ID]:[ID]]=$A79,0)),""))</f>
        <v/>
      </c>
      <c r="P79" t="str" cm="1">
        <f t="array" ref="P79">IF(IFERROR(MIN(_xlfn._xlws.FILTER(Tabla1[[#Data],[AcZ]],Tabla1[[ID]:[ID]]=$A79,0)),"")=0,"",IFERROR(MIN(_xlfn._xlws.FILTER(Tabla1[[#Data],[AcZ]],Tabla1[[ID]:[ID]]=$A79,0)),""))</f>
        <v/>
      </c>
      <c r="Q79" t="str" cm="1">
        <f t="array" ref="Q79">IFERROR(AVERAGE(_xlfn._xlws.FILTER(Tabla1[[#Data],[GyX]],Tabla1[[ID]:[ID]]=$A79,0)),"")</f>
        <v/>
      </c>
      <c r="R79" t="str" cm="1">
        <f t="array" ref="R79">IF(IFERROR(MAX(_xlfn._xlws.FILTER(Tabla1[[#Data],[GyX]],Tabla1[[ID]:[ID]]=$A79,0)),"")=0,"",IFERROR(MAX(_xlfn._xlws.FILTER(Tabla1[[#Data],[GyX]],Tabla1[[ID]:[ID]]=$A79,0)),""))</f>
        <v/>
      </c>
      <c r="S79" t="str" cm="1">
        <f t="array" ref="S79">IF(IFERROR(MIN(_xlfn._xlws.FILTER(Tabla1[[#Data],[GyX]],Tabla1[[ID]:[ID]]=$A79,0)),"")=0,"",IFERROR(MIN(_xlfn._xlws.FILTER(Tabla1[[#Data],[GyX]],Tabla1[[ID]:[ID]]=$A79,0)),""))</f>
        <v/>
      </c>
      <c r="T79" t="str" cm="1">
        <f t="array" ref="T79">IFERROR(AVERAGE(_xlfn._xlws.FILTER(Tabla1[[#Data],[GyY]],Tabla1[[ID]:[ID]]=$A79,0)),"")</f>
        <v/>
      </c>
      <c r="U79" t="str" cm="1">
        <f t="array" ref="U79">IF(IFERROR(MAX(_xlfn._xlws.FILTER(Tabla1[[#Data],[GyY]],Tabla1[[ID]:[ID]]=$A79,0)),"")=0,"",IFERROR(MAX(_xlfn._xlws.FILTER(Tabla1[[#Data],[GyY]],Tabla1[[ID]:[ID]]=$A79,0)),""))</f>
        <v/>
      </c>
      <c r="V79" t="str" cm="1">
        <f t="array" ref="V79">IF(IFERROR(MIN(_xlfn._xlws.FILTER(Tabla1[[#Data],[GyY]],Tabla1[[ID]:[ID]]=$A79,0)),"")=0,"",IFERROR(MIN(_xlfn._xlws.FILTER(Tabla1[[#Data],[GyY]],Tabla1[[ID]:[ID]]=$A79,0)),""))</f>
        <v/>
      </c>
      <c r="W79" t="str" cm="1">
        <f t="array" ref="W79">IFERROR(AVERAGE(_xlfn._xlws.FILTER(Tabla1[[#Data],[GyZ]],Tabla1[[ID]:[ID]]=$A79,0)),"")</f>
        <v/>
      </c>
      <c r="X79" t="str" cm="1">
        <f t="array" ref="X79">IF(IFERROR(MAX(_xlfn._xlws.FILTER(Tabla1[[#Data],[GyZ]],Tabla1[[ID]:[ID]]=$A79,0)),"")=0,"",IFERROR(MAX(_xlfn._xlws.FILTER(Tabla1[[#Data],[GyZ]],Tabla1[[ID]:[ID]]=$A79,0)),""))</f>
        <v/>
      </c>
      <c r="Y79" t="str" cm="1">
        <f t="array" ref="Y79">IF(IFERROR(MIN(_xlfn._xlws.FILTER(Tabla1[[#Data],[GyZ]],Tabla1[[ID]:[ID]]=$A79,0)),"")=0,"",IFERROR(MIN(_xlfn._xlws.FILTER(Tabla1[[#Data],[GyZ]],Tabla1[[ID]:[ID]]=$A79,0)),""))</f>
        <v/>
      </c>
      <c r="Z79" t="str" cm="1">
        <f t="array" ref="Z79">IF(ISNUMBER(A79),IF(ISNUMBER(MATCH(1,_xlfn._xlws.FILTER(Tabla1[[#Data],[Open]],Tabla1[[ID]:[ID]]=$A79,""))),1,0),"")</f>
        <v/>
      </c>
      <c r="AA79" t="str">
        <f t="shared" si="10"/>
        <v/>
      </c>
      <c r="AB79" t="str">
        <f t="shared" si="11"/>
        <v/>
      </c>
      <c r="AC79" t="str">
        <f t="shared" si="12"/>
        <v/>
      </c>
      <c r="AD79" t="str">
        <f t="shared" si="13"/>
        <v/>
      </c>
      <c r="AE79" t="str">
        <f t="shared" si="14"/>
        <v/>
      </c>
      <c r="AF79" t="str">
        <f t="shared" si="15"/>
        <v/>
      </c>
      <c r="AG79" t="str">
        <f t="shared" si="16"/>
        <v/>
      </c>
      <c r="AH79" t="str">
        <f t="shared" si="17"/>
        <v/>
      </c>
      <c r="AI79" t="str">
        <f t="shared" si="18"/>
        <v/>
      </c>
      <c r="AJ79" t="str">
        <f t="shared" si="19"/>
        <v/>
      </c>
    </row>
    <row r="80" spans="2:36" x14ac:dyDescent="0.35">
      <c r="B80" t="str" cm="1">
        <f t="array" ref="B80">IFERROR(AVERAGE(_xlfn._xlws.FILTER(Tabla1[[#Data],[Temperatura]],Tabla1[[ID]:[ID]]=$A80,0)),"")</f>
        <v/>
      </c>
      <c r="C80" t="str" cm="1">
        <f t="array" ref="C80">IF(IFERROR(MAX(_xlfn._xlws.FILTER(Tabla1[[#Data],[Temperatura]],Tabla1[[ID]:[ID]]=$A80,0)),"")=0,"",IFERROR(MAX(_xlfn._xlws.FILTER(Tabla1[[#Data],[Temperatura]],Tabla1[[ID]:[ID]]=$A80,0)),""))</f>
        <v/>
      </c>
      <c r="D80" t="str" cm="1">
        <f t="array" ref="D80">IF(IFERROR(MIN(_xlfn._xlws.FILTER(Tabla1[[#Data],[Temperatura]],Tabla1[[ID]:[ID]]=$A80,0)),"")=0,"",IFERROR(MIN(_xlfn._xlws.FILTER(Tabla1[[#Data],[Temperatura]],Tabla1[[ID]:[ID]]=$A80,0)),""))</f>
        <v/>
      </c>
      <c r="E80" t="str" cm="1">
        <f t="array" ref="E80">IFERROR(AVERAGE(_xlfn._xlws.FILTER(Tabla1[[#Data],[Humidade]],Tabla1[[ID]:[ID]]=$A80,0)),"")</f>
        <v/>
      </c>
      <c r="F80" t="str" cm="1">
        <f t="array" ref="F80">IF(IFERROR(MAX(_xlfn._xlws.FILTER(Tabla1[[#Data],[Humidade]],Tabla1[[ID]:[ID]]=$A80,0)),"")=0,"",IFERROR(MAX(_xlfn._xlws.FILTER(Tabla1[[#Data],[Humidade]],Tabla1[[ID]:[ID]]=$A80,0)),""))</f>
        <v/>
      </c>
      <c r="G80" t="str" cm="1">
        <f t="array" ref="G80">IF(IFERROR(MIN(_xlfn._xlws.FILTER(Tabla1[[#Data],[Humidade]],Tabla1[[ID]:[ID]]=$A80,0)),"")=0,"",IFERROR(MIN(_xlfn._xlws.FILTER(Tabla1[[#Data],[Humidade]],Tabla1[[ID]:[ID]]=$A80,0)),""))</f>
        <v/>
      </c>
      <c r="H80" t="str" cm="1">
        <f t="array" ref="H80">IFERROR(AVERAGE(_xlfn._xlws.FILTER(Tabla1[[#Data],[AcX]],Tabla1[[ID]:[ID]]=$A80,0)),"")</f>
        <v/>
      </c>
      <c r="I80" t="str" cm="1">
        <f t="array" ref="I80">IF(IFERROR(MAX(_xlfn._xlws.FILTER(Tabla1[[#Data],[AcX]],Tabla1[[ID]:[ID]]=$A80,0)),"")=0,"",IFERROR(MAX(_xlfn._xlws.FILTER(Tabla1[[#Data],[AcX]],Tabla1[[ID]:[ID]]=$A80,0)),""))</f>
        <v/>
      </c>
      <c r="J80" t="str" cm="1">
        <f t="array" ref="J80">IF(IFERROR(MIN(_xlfn._xlws.FILTER(Tabla1[[#Data],[AcX]],Tabla1[[ID]:[ID]]=$A80,0)),"")=0,"",IFERROR(MIN(_xlfn._xlws.FILTER(Tabla1[[#Data],[AcX]],Tabla1[[ID]:[ID]]=$A80,0)),""))</f>
        <v/>
      </c>
      <c r="K80" t="str" cm="1">
        <f t="array" ref="K80">IFERROR(AVERAGE(_xlfn._xlws.FILTER(Tabla1[[#Data],[AcY]],Tabla1[[ID]:[ID]]=$A80,0)),"")</f>
        <v/>
      </c>
      <c r="L80" t="str" cm="1">
        <f t="array" ref="L80">IF(IFERROR(MAX(_xlfn._xlws.FILTER(Tabla1[[#Data],[AcY]],Tabla1[[ID]:[ID]]=$A80,0)),"")=0,"",IFERROR(MAX(_xlfn._xlws.FILTER(Tabla1[[#Data],[AcY]],Tabla1[[ID]:[ID]]=$A80,0)),""))</f>
        <v/>
      </c>
      <c r="M80" t="str" cm="1">
        <f t="array" ref="M80">IF(IFERROR(MIN(_xlfn._xlws.FILTER(Tabla1[[#Data],[AcY]],Tabla1[[ID]:[ID]]=$A80,0)),"")=0,"",IFERROR(MIN(_xlfn._xlws.FILTER(Tabla1[[#Data],[AcY]],Tabla1[[ID]:[ID]]=$A80,0)),""))</f>
        <v/>
      </c>
      <c r="N80" t="str" cm="1">
        <f t="array" ref="N80">IFERROR(AVERAGE(_xlfn._xlws.FILTER(Tabla1[[#Data],[AcZ]],Tabla1[[ID]:[ID]]=$A80,0)),"")</f>
        <v/>
      </c>
      <c r="O80" t="str" cm="1">
        <f t="array" ref="O80">IF(IFERROR(MAX(_xlfn._xlws.FILTER(Tabla1[[#Data],[AcZ]],Tabla1[[ID]:[ID]]=$A80,0)),"")=0,"",IFERROR(MAX(_xlfn._xlws.FILTER(Tabla1[[#Data],[AcZ]],Tabla1[[ID]:[ID]]=$A80,0)),""))</f>
        <v/>
      </c>
      <c r="P80" t="str" cm="1">
        <f t="array" ref="P80">IF(IFERROR(MIN(_xlfn._xlws.FILTER(Tabla1[[#Data],[AcZ]],Tabla1[[ID]:[ID]]=$A80,0)),"")=0,"",IFERROR(MIN(_xlfn._xlws.FILTER(Tabla1[[#Data],[AcZ]],Tabla1[[ID]:[ID]]=$A80,0)),""))</f>
        <v/>
      </c>
      <c r="Q80" t="str" cm="1">
        <f t="array" ref="Q80">IFERROR(AVERAGE(_xlfn._xlws.FILTER(Tabla1[[#Data],[GyX]],Tabla1[[ID]:[ID]]=$A80,0)),"")</f>
        <v/>
      </c>
      <c r="R80" t="str" cm="1">
        <f t="array" ref="R80">IF(IFERROR(MAX(_xlfn._xlws.FILTER(Tabla1[[#Data],[GyX]],Tabla1[[ID]:[ID]]=$A80,0)),"")=0,"",IFERROR(MAX(_xlfn._xlws.FILTER(Tabla1[[#Data],[GyX]],Tabla1[[ID]:[ID]]=$A80,0)),""))</f>
        <v/>
      </c>
      <c r="S80" t="str" cm="1">
        <f t="array" ref="S80">IF(IFERROR(MIN(_xlfn._xlws.FILTER(Tabla1[[#Data],[GyX]],Tabla1[[ID]:[ID]]=$A80,0)),"")=0,"",IFERROR(MIN(_xlfn._xlws.FILTER(Tabla1[[#Data],[GyX]],Tabla1[[ID]:[ID]]=$A80,0)),""))</f>
        <v/>
      </c>
      <c r="T80" t="str" cm="1">
        <f t="array" ref="T80">IFERROR(AVERAGE(_xlfn._xlws.FILTER(Tabla1[[#Data],[GyY]],Tabla1[[ID]:[ID]]=$A80,0)),"")</f>
        <v/>
      </c>
      <c r="U80" t="str" cm="1">
        <f t="array" ref="U80">IF(IFERROR(MAX(_xlfn._xlws.FILTER(Tabla1[[#Data],[GyY]],Tabla1[[ID]:[ID]]=$A80,0)),"")=0,"",IFERROR(MAX(_xlfn._xlws.FILTER(Tabla1[[#Data],[GyY]],Tabla1[[ID]:[ID]]=$A80,0)),""))</f>
        <v/>
      </c>
      <c r="V80" t="str" cm="1">
        <f t="array" ref="V80">IF(IFERROR(MIN(_xlfn._xlws.FILTER(Tabla1[[#Data],[GyY]],Tabla1[[ID]:[ID]]=$A80,0)),"")=0,"",IFERROR(MIN(_xlfn._xlws.FILTER(Tabla1[[#Data],[GyY]],Tabla1[[ID]:[ID]]=$A80,0)),""))</f>
        <v/>
      </c>
      <c r="W80" t="str" cm="1">
        <f t="array" ref="W80">IFERROR(AVERAGE(_xlfn._xlws.FILTER(Tabla1[[#Data],[GyZ]],Tabla1[[ID]:[ID]]=$A80,0)),"")</f>
        <v/>
      </c>
      <c r="X80" t="str" cm="1">
        <f t="array" ref="X80">IF(IFERROR(MAX(_xlfn._xlws.FILTER(Tabla1[[#Data],[GyZ]],Tabla1[[ID]:[ID]]=$A80,0)),"")=0,"",IFERROR(MAX(_xlfn._xlws.FILTER(Tabla1[[#Data],[GyZ]],Tabla1[[ID]:[ID]]=$A80,0)),""))</f>
        <v/>
      </c>
      <c r="Y80" t="str" cm="1">
        <f t="array" ref="Y80">IF(IFERROR(MIN(_xlfn._xlws.FILTER(Tabla1[[#Data],[GyZ]],Tabla1[[ID]:[ID]]=$A80,0)),"")=0,"",IFERROR(MIN(_xlfn._xlws.FILTER(Tabla1[[#Data],[GyZ]],Tabla1[[ID]:[ID]]=$A80,0)),""))</f>
        <v/>
      </c>
      <c r="Z80" t="str" cm="1">
        <f t="array" ref="Z80">IF(ISNUMBER(A80),IF(ISNUMBER(MATCH(1,_xlfn._xlws.FILTER(Tabla1[[#Data],[Open]],Tabla1[[ID]:[ID]]=$A80,""))),1,0),"")</f>
        <v/>
      </c>
      <c r="AA80" t="str">
        <f t="shared" si="10"/>
        <v/>
      </c>
      <c r="AB80" t="str">
        <f t="shared" si="11"/>
        <v/>
      </c>
      <c r="AC80" t="str">
        <f t="shared" si="12"/>
        <v/>
      </c>
      <c r="AD80" t="str">
        <f t="shared" si="13"/>
        <v/>
      </c>
      <c r="AE80" t="str">
        <f t="shared" si="14"/>
        <v/>
      </c>
      <c r="AF80" t="str">
        <f t="shared" si="15"/>
        <v/>
      </c>
      <c r="AG80" t="str">
        <f t="shared" si="16"/>
        <v/>
      </c>
      <c r="AH80" t="str">
        <f t="shared" si="17"/>
        <v/>
      </c>
      <c r="AI80" t="str">
        <f t="shared" si="18"/>
        <v/>
      </c>
      <c r="AJ80" t="str">
        <f t="shared" si="19"/>
        <v/>
      </c>
    </row>
    <row r="81" spans="2:36" x14ac:dyDescent="0.35">
      <c r="B81" t="str" cm="1">
        <f t="array" ref="B81">IFERROR(AVERAGE(_xlfn._xlws.FILTER(Tabla1[[#Data],[Temperatura]],Tabla1[[ID]:[ID]]=$A81,0)),"")</f>
        <v/>
      </c>
      <c r="C81" t="str" cm="1">
        <f t="array" ref="C81">IF(IFERROR(MAX(_xlfn._xlws.FILTER(Tabla1[[#Data],[Temperatura]],Tabla1[[ID]:[ID]]=$A81,0)),"")=0,"",IFERROR(MAX(_xlfn._xlws.FILTER(Tabla1[[#Data],[Temperatura]],Tabla1[[ID]:[ID]]=$A81,0)),""))</f>
        <v/>
      </c>
      <c r="D81" t="str" cm="1">
        <f t="array" ref="D81">IF(IFERROR(MIN(_xlfn._xlws.FILTER(Tabla1[[#Data],[Temperatura]],Tabla1[[ID]:[ID]]=$A81,0)),"")=0,"",IFERROR(MIN(_xlfn._xlws.FILTER(Tabla1[[#Data],[Temperatura]],Tabla1[[ID]:[ID]]=$A81,0)),""))</f>
        <v/>
      </c>
      <c r="E81" t="str" cm="1">
        <f t="array" ref="E81">IFERROR(AVERAGE(_xlfn._xlws.FILTER(Tabla1[[#Data],[Humidade]],Tabla1[[ID]:[ID]]=$A81,0)),"")</f>
        <v/>
      </c>
      <c r="F81" t="str" cm="1">
        <f t="array" ref="F81">IF(IFERROR(MAX(_xlfn._xlws.FILTER(Tabla1[[#Data],[Humidade]],Tabla1[[ID]:[ID]]=$A81,0)),"")=0,"",IFERROR(MAX(_xlfn._xlws.FILTER(Tabla1[[#Data],[Humidade]],Tabla1[[ID]:[ID]]=$A81,0)),""))</f>
        <v/>
      </c>
      <c r="G81" t="str" cm="1">
        <f t="array" ref="G81">IF(IFERROR(MIN(_xlfn._xlws.FILTER(Tabla1[[#Data],[Humidade]],Tabla1[[ID]:[ID]]=$A81,0)),"")=0,"",IFERROR(MIN(_xlfn._xlws.FILTER(Tabla1[[#Data],[Humidade]],Tabla1[[ID]:[ID]]=$A81,0)),""))</f>
        <v/>
      </c>
      <c r="H81" t="str" cm="1">
        <f t="array" ref="H81">IFERROR(AVERAGE(_xlfn._xlws.FILTER(Tabla1[[#Data],[AcX]],Tabla1[[ID]:[ID]]=$A81,0)),"")</f>
        <v/>
      </c>
      <c r="I81" t="str" cm="1">
        <f t="array" ref="I81">IF(IFERROR(MAX(_xlfn._xlws.FILTER(Tabla1[[#Data],[AcX]],Tabla1[[ID]:[ID]]=$A81,0)),"")=0,"",IFERROR(MAX(_xlfn._xlws.FILTER(Tabla1[[#Data],[AcX]],Tabla1[[ID]:[ID]]=$A81,0)),""))</f>
        <v/>
      </c>
      <c r="J81" t="str" cm="1">
        <f t="array" ref="J81">IF(IFERROR(MIN(_xlfn._xlws.FILTER(Tabla1[[#Data],[AcX]],Tabla1[[ID]:[ID]]=$A81,0)),"")=0,"",IFERROR(MIN(_xlfn._xlws.FILTER(Tabla1[[#Data],[AcX]],Tabla1[[ID]:[ID]]=$A81,0)),""))</f>
        <v/>
      </c>
      <c r="K81" t="str" cm="1">
        <f t="array" ref="K81">IFERROR(AVERAGE(_xlfn._xlws.FILTER(Tabla1[[#Data],[AcY]],Tabla1[[ID]:[ID]]=$A81,0)),"")</f>
        <v/>
      </c>
      <c r="L81" t="str" cm="1">
        <f t="array" ref="L81">IF(IFERROR(MAX(_xlfn._xlws.FILTER(Tabla1[[#Data],[AcY]],Tabla1[[ID]:[ID]]=$A81,0)),"")=0,"",IFERROR(MAX(_xlfn._xlws.FILTER(Tabla1[[#Data],[AcY]],Tabla1[[ID]:[ID]]=$A81,0)),""))</f>
        <v/>
      </c>
      <c r="M81" t="str" cm="1">
        <f t="array" ref="M81">IF(IFERROR(MIN(_xlfn._xlws.FILTER(Tabla1[[#Data],[AcY]],Tabla1[[ID]:[ID]]=$A81,0)),"")=0,"",IFERROR(MIN(_xlfn._xlws.FILTER(Tabla1[[#Data],[AcY]],Tabla1[[ID]:[ID]]=$A81,0)),""))</f>
        <v/>
      </c>
      <c r="N81" t="str" cm="1">
        <f t="array" ref="N81">IFERROR(AVERAGE(_xlfn._xlws.FILTER(Tabla1[[#Data],[AcZ]],Tabla1[[ID]:[ID]]=$A81,0)),"")</f>
        <v/>
      </c>
      <c r="O81" t="str" cm="1">
        <f t="array" ref="O81">IF(IFERROR(MAX(_xlfn._xlws.FILTER(Tabla1[[#Data],[AcZ]],Tabla1[[ID]:[ID]]=$A81,0)),"")=0,"",IFERROR(MAX(_xlfn._xlws.FILTER(Tabla1[[#Data],[AcZ]],Tabla1[[ID]:[ID]]=$A81,0)),""))</f>
        <v/>
      </c>
      <c r="P81" t="str" cm="1">
        <f t="array" ref="P81">IF(IFERROR(MIN(_xlfn._xlws.FILTER(Tabla1[[#Data],[AcZ]],Tabla1[[ID]:[ID]]=$A81,0)),"")=0,"",IFERROR(MIN(_xlfn._xlws.FILTER(Tabla1[[#Data],[AcZ]],Tabla1[[ID]:[ID]]=$A81,0)),""))</f>
        <v/>
      </c>
      <c r="Q81" t="str" cm="1">
        <f t="array" ref="Q81">IFERROR(AVERAGE(_xlfn._xlws.FILTER(Tabla1[[#Data],[GyX]],Tabla1[[ID]:[ID]]=$A81,0)),"")</f>
        <v/>
      </c>
      <c r="R81" t="str" cm="1">
        <f t="array" ref="R81">IF(IFERROR(MAX(_xlfn._xlws.FILTER(Tabla1[[#Data],[GyX]],Tabla1[[ID]:[ID]]=$A81,0)),"")=0,"",IFERROR(MAX(_xlfn._xlws.FILTER(Tabla1[[#Data],[GyX]],Tabla1[[ID]:[ID]]=$A81,0)),""))</f>
        <v/>
      </c>
      <c r="S81" t="str" cm="1">
        <f t="array" ref="S81">IF(IFERROR(MIN(_xlfn._xlws.FILTER(Tabla1[[#Data],[GyX]],Tabla1[[ID]:[ID]]=$A81,0)),"")=0,"",IFERROR(MIN(_xlfn._xlws.FILTER(Tabla1[[#Data],[GyX]],Tabla1[[ID]:[ID]]=$A81,0)),""))</f>
        <v/>
      </c>
      <c r="T81" t="str" cm="1">
        <f t="array" ref="T81">IFERROR(AVERAGE(_xlfn._xlws.FILTER(Tabla1[[#Data],[GyY]],Tabla1[[ID]:[ID]]=$A81,0)),"")</f>
        <v/>
      </c>
      <c r="U81" t="str" cm="1">
        <f t="array" ref="U81">IF(IFERROR(MAX(_xlfn._xlws.FILTER(Tabla1[[#Data],[GyY]],Tabla1[[ID]:[ID]]=$A81,0)),"")=0,"",IFERROR(MAX(_xlfn._xlws.FILTER(Tabla1[[#Data],[GyY]],Tabla1[[ID]:[ID]]=$A81,0)),""))</f>
        <v/>
      </c>
      <c r="V81" t="str" cm="1">
        <f t="array" ref="V81">IF(IFERROR(MIN(_xlfn._xlws.FILTER(Tabla1[[#Data],[GyY]],Tabla1[[ID]:[ID]]=$A81,0)),"")=0,"",IFERROR(MIN(_xlfn._xlws.FILTER(Tabla1[[#Data],[GyY]],Tabla1[[ID]:[ID]]=$A81,0)),""))</f>
        <v/>
      </c>
      <c r="W81" t="str" cm="1">
        <f t="array" ref="W81">IFERROR(AVERAGE(_xlfn._xlws.FILTER(Tabla1[[#Data],[GyZ]],Tabla1[[ID]:[ID]]=$A81,0)),"")</f>
        <v/>
      </c>
      <c r="X81" t="str" cm="1">
        <f t="array" ref="X81">IF(IFERROR(MAX(_xlfn._xlws.FILTER(Tabla1[[#Data],[GyZ]],Tabla1[[ID]:[ID]]=$A81,0)),"")=0,"",IFERROR(MAX(_xlfn._xlws.FILTER(Tabla1[[#Data],[GyZ]],Tabla1[[ID]:[ID]]=$A81,0)),""))</f>
        <v/>
      </c>
      <c r="Y81" t="str" cm="1">
        <f t="array" ref="Y81">IF(IFERROR(MIN(_xlfn._xlws.FILTER(Tabla1[[#Data],[GyZ]],Tabla1[[ID]:[ID]]=$A81,0)),"")=0,"",IFERROR(MIN(_xlfn._xlws.FILTER(Tabla1[[#Data],[GyZ]],Tabla1[[ID]:[ID]]=$A81,0)),""))</f>
        <v/>
      </c>
      <c r="Z81" t="str" cm="1">
        <f t="array" ref="Z81">IF(ISNUMBER(A81),IF(ISNUMBER(MATCH(1,_xlfn._xlws.FILTER(Tabla1[[#Data],[Open]],Tabla1[[ID]:[ID]]=$A81,""))),1,0),"")</f>
        <v/>
      </c>
      <c r="AA81" t="str">
        <f t="shared" si="10"/>
        <v/>
      </c>
      <c r="AB81" t="str">
        <f t="shared" si="11"/>
        <v/>
      </c>
      <c r="AC81" t="str">
        <f t="shared" si="12"/>
        <v/>
      </c>
      <c r="AD81" t="str">
        <f t="shared" si="13"/>
        <v/>
      </c>
      <c r="AE81" t="str">
        <f t="shared" si="14"/>
        <v/>
      </c>
      <c r="AF81" t="str">
        <f t="shared" si="15"/>
        <v/>
      </c>
      <c r="AG81" t="str">
        <f t="shared" si="16"/>
        <v/>
      </c>
      <c r="AH81" t="str">
        <f t="shared" si="17"/>
        <v/>
      </c>
      <c r="AI81" t="str">
        <f t="shared" si="18"/>
        <v/>
      </c>
      <c r="AJ81" t="str">
        <f t="shared" si="19"/>
        <v/>
      </c>
    </row>
    <row r="82" spans="2:36" x14ac:dyDescent="0.35">
      <c r="B82" t="str" cm="1">
        <f t="array" ref="B82">IFERROR(AVERAGE(_xlfn._xlws.FILTER(Tabla1[[#Data],[Temperatura]],Tabla1[[ID]:[ID]]=$A82,0)),"")</f>
        <v/>
      </c>
      <c r="C82" t="str" cm="1">
        <f t="array" ref="C82">IF(IFERROR(MAX(_xlfn._xlws.FILTER(Tabla1[[#Data],[Temperatura]],Tabla1[[ID]:[ID]]=$A82,0)),"")=0,"",IFERROR(MAX(_xlfn._xlws.FILTER(Tabla1[[#Data],[Temperatura]],Tabla1[[ID]:[ID]]=$A82,0)),""))</f>
        <v/>
      </c>
      <c r="D82" t="str" cm="1">
        <f t="array" ref="D82">IF(IFERROR(MIN(_xlfn._xlws.FILTER(Tabla1[[#Data],[Temperatura]],Tabla1[[ID]:[ID]]=$A82,0)),"")=0,"",IFERROR(MIN(_xlfn._xlws.FILTER(Tabla1[[#Data],[Temperatura]],Tabla1[[ID]:[ID]]=$A82,0)),""))</f>
        <v/>
      </c>
      <c r="E82" t="str" cm="1">
        <f t="array" ref="E82">IFERROR(AVERAGE(_xlfn._xlws.FILTER(Tabla1[[#Data],[Humidade]],Tabla1[[ID]:[ID]]=$A82,0)),"")</f>
        <v/>
      </c>
      <c r="F82" t="str" cm="1">
        <f t="array" ref="F82">IF(IFERROR(MAX(_xlfn._xlws.FILTER(Tabla1[[#Data],[Humidade]],Tabla1[[ID]:[ID]]=$A82,0)),"")=0,"",IFERROR(MAX(_xlfn._xlws.FILTER(Tabla1[[#Data],[Humidade]],Tabla1[[ID]:[ID]]=$A82,0)),""))</f>
        <v/>
      </c>
      <c r="G82" t="str" cm="1">
        <f t="array" ref="G82">IF(IFERROR(MIN(_xlfn._xlws.FILTER(Tabla1[[#Data],[Humidade]],Tabla1[[ID]:[ID]]=$A82,0)),"")=0,"",IFERROR(MIN(_xlfn._xlws.FILTER(Tabla1[[#Data],[Humidade]],Tabla1[[ID]:[ID]]=$A82,0)),""))</f>
        <v/>
      </c>
      <c r="H82" t="str" cm="1">
        <f t="array" ref="H82">IFERROR(AVERAGE(_xlfn._xlws.FILTER(Tabla1[[#Data],[AcX]],Tabla1[[ID]:[ID]]=$A82,0)),"")</f>
        <v/>
      </c>
      <c r="I82" t="str" cm="1">
        <f t="array" ref="I82">IF(IFERROR(MAX(_xlfn._xlws.FILTER(Tabla1[[#Data],[AcX]],Tabla1[[ID]:[ID]]=$A82,0)),"")=0,"",IFERROR(MAX(_xlfn._xlws.FILTER(Tabla1[[#Data],[AcX]],Tabla1[[ID]:[ID]]=$A82,0)),""))</f>
        <v/>
      </c>
      <c r="J82" t="str" cm="1">
        <f t="array" ref="J82">IF(IFERROR(MIN(_xlfn._xlws.FILTER(Tabla1[[#Data],[AcX]],Tabla1[[ID]:[ID]]=$A82,0)),"")=0,"",IFERROR(MIN(_xlfn._xlws.FILTER(Tabla1[[#Data],[AcX]],Tabla1[[ID]:[ID]]=$A82,0)),""))</f>
        <v/>
      </c>
      <c r="K82" t="str" cm="1">
        <f t="array" ref="K82">IFERROR(AVERAGE(_xlfn._xlws.FILTER(Tabla1[[#Data],[AcY]],Tabla1[[ID]:[ID]]=$A82,0)),"")</f>
        <v/>
      </c>
      <c r="L82" t="str" cm="1">
        <f t="array" ref="L82">IF(IFERROR(MAX(_xlfn._xlws.FILTER(Tabla1[[#Data],[AcY]],Tabla1[[ID]:[ID]]=$A82,0)),"")=0,"",IFERROR(MAX(_xlfn._xlws.FILTER(Tabla1[[#Data],[AcY]],Tabla1[[ID]:[ID]]=$A82,0)),""))</f>
        <v/>
      </c>
      <c r="M82" t="str" cm="1">
        <f t="array" ref="M82">IF(IFERROR(MIN(_xlfn._xlws.FILTER(Tabla1[[#Data],[AcY]],Tabla1[[ID]:[ID]]=$A82,0)),"")=0,"",IFERROR(MIN(_xlfn._xlws.FILTER(Tabla1[[#Data],[AcY]],Tabla1[[ID]:[ID]]=$A82,0)),""))</f>
        <v/>
      </c>
      <c r="N82" t="str" cm="1">
        <f t="array" ref="N82">IFERROR(AVERAGE(_xlfn._xlws.FILTER(Tabla1[[#Data],[AcZ]],Tabla1[[ID]:[ID]]=$A82,0)),"")</f>
        <v/>
      </c>
      <c r="O82" t="str" cm="1">
        <f t="array" ref="O82">IF(IFERROR(MAX(_xlfn._xlws.FILTER(Tabla1[[#Data],[AcZ]],Tabla1[[ID]:[ID]]=$A82,0)),"")=0,"",IFERROR(MAX(_xlfn._xlws.FILTER(Tabla1[[#Data],[AcZ]],Tabla1[[ID]:[ID]]=$A82,0)),""))</f>
        <v/>
      </c>
      <c r="P82" t="str" cm="1">
        <f t="array" ref="P82">IF(IFERROR(MIN(_xlfn._xlws.FILTER(Tabla1[[#Data],[AcZ]],Tabla1[[ID]:[ID]]=$A82,0)),"")=0,"",IFERROR(MIN(_xlfn._xlws.FILTER(Tabla1[[#Data],[AcZ]],Tabla1[[ID]:[ID]]=$A82,0)),""))</f>
        <v/>
      </c>
      <c r="Q82" t="str" cm="1">
        <f t="array" ref="Q82">IFERROR(AVERAGE(_xlfn._xlws.FILTER(Tabla1[[#Data],[GyX]],Tabla1[[ID]:[ID]]=$A82,0)),"")</f>
        <v/>
      </c>
      <c r="R82" t="str" cm="1">
        <f t="array" ref="R82">IF(IFERROR(MAX(_xlfn._xlws.FILTER(Tabla1[[#Data],[GyX]],Tabla1[[ID]:[ID]]=$A82,0)),"")=0,"",IFERROR(MAX(_xlfn._xlws.FILTER(Tabla1[[#Data],[GyX]],Tabla1[[ID]:[ID]]=$A82,0)),""))</f>
        <v/>
      </c>
      <c r="S82" t="str" cm="1">
        <f t="array" ref="S82">IF(IFERROR(MIN(_xlfn._xlws.FILTER(Tabla1[[#Data],[GyX]],Tabla1[[ID]:[ID]]=$A82,0)),"")=0,"",IFERROR(MIN(_xlfn._xlws.FILTER(Tabla1[[#Data],[GyX]],Tabla1[[ID]:[ID]]=$A82,0)),""))</f>
        <v/>
      </c>
      <c r="T82" t="str" cm="1">
        <f t="array" ref="T82">IFERROR(AVERAGE(_xlfn._xlws.FILTER(Tabla1[[#Data],[GyY]],Tabla1[[ID]:[ID]]=$A82,0)),"")</f>
        <v/>
      </c>
      <c r="U82" t="str" cm="1">
        <f t="array" ref="U82">IF(IFERROR(MAX(_xlfn._xlws.FILTER(Tabla1[[#Data],[GyY]],Tabla1[[ID]:[ID]]=$A82,0)),"")=0,"",IFERROR(MAX(_xlfn._xlws.FILTER(Tabla1[[#Data],[GyY]],Tabla1[[ID]:[ID]]=$A82,0)),""))</f>
        <v/>
      </c>
      <c r="V82" t="str" cm="1">
        <f t="array" ref="V82">IF(IFERROR(MIN(_xlfn._xlws.FILTER(Tabla1[[#Data],[GyY]],Tabla1[[ID]:[ID]]=$A82,0)),"")=0,"",IFERROR(MIN(_xlfn._xlws.FILTER(Tabla1[[#Data],[GyY]],Tabla1[[ID]:[ID]]=$A82,0)),""))</f>
        <v/>
      </c>
      <c r="W82" t="str" cm="1">
        <f t="array" ref="W82">IFERROR(AVERAGE(_xlfn._xlws.FILTER(Tabla1[[#Data],[GyZ]],Tabla1[[ID]:[ID]]=$A82,0)),"")</f>
        <v/>
      </c>
      <c r="X82" t="str" cm="1">
        <f t="array" ref="X82">IF(IFERROR(MAX(_xlfn._xlws.FILTER(Tabla1[[#Data],[GyZ]],Tabla1[[ID]:[ID]]=$A82,0)),"")=0,"",IFERROR(MAX(_xlfn._xlws.FILTER(Tabla1[[#Data],[GyZ]],Tabla1[[ID]:[ID]]=$A82,0)),""))</f>
        <v/>
      </c>
      <c r="Y82" t="str" cm="1">
        <f t="array" ref="Y82">IF(IFERROR(MIN(_xlfn._xlws.FILTER(Tabla1[[#Data],[GyZ]],Tabla1[[ID]:[ID]]=$A82,0)),"")=0,"",IFERROR(MIN(_xlfn._xlws.FILTER(Tabla1[[#Data],[GyZ]],Tabla1[[ID]:[ID]]=$A82,0)),""))</f>
        <v/>
      </c>
      <c r="Z82" t="str" cm="1">
        <f t="array" ref="Z82">IF(ISNUMBER(A82),IF(ISNUMBER(MATCH(1,_xlfn._xlws.FILTER(Tabla1[[#Data],[Open]],Tabla1[[ID]:[ID]]=$A82,""))),1,0),"")</f>
        <v/>
      </c>
      <c r="AA82" t="str">
        <f t="shared" si="10"/>
        <v/>
      </c>
      <c r="AB82" t="str">
        <f t="shared" si="11"/>
        <v/>
      </c>
      <c r="AC82" t="str">
        <f t="shared" si="12"/>
        <v/>
      </c>
      <c r="AD82" t="str">
        <f t="shared" si="13"/>
        <v/>
      </c>
      <c r="AE82" t="str">
        <f t="shared" si="14"/>
        <v/>
      </c>
      <c r="AF82" t="str">
        <f t="shared" si="15"/>
        <v/>
      </c>
      <c r="AG82" t="str">
        <f t="shared" si="16"/>
        <v/>
      </c>
      <c r="AH82" t="str">
        <f t="shared" si="17"/>
        <v/>
      </c>
      <c r="AI82" t="str">
        <f t="shared" si="18"/>
        <v/>
      </c>
      <c r="AJ82" t="str">
        <f t="shared" si="19"/>
        <v/>
      </c>
    </row>
    <row r="83" spans="2:36" x14ac:dyDescent="0.35">
      <c r="B83" t="str" cm="1">
        <f t="array" ref="B83">IFERROR(AVERAGE(_xlfn._xlws.FILTER(Tabla1[[#Data],[Temperatura]],Tabla1[[ID]:[ID]]=$A83,0)),"")</f>
        <v/>
      </c>
      <c r="C83" t="str" cm="1">
        <f t="array" ref="C83">IF(IFERROR(MAX(_xlfn._xlws.FILTER(Tabla1[[#Data],[Temperatura]],Tabla1[[ID]:[ID]]=$A83,0)),"")=0,"",IFERROR(MAX(_xlfn._xlws.FILTER(Tabla1[[#Data],[Temperatura]],Tabla1[[ID]:[ID]]=$A83,0)),""))</f>
        <v/>
      </c>
      <c r="D83" t="str" cm="1">
        <f t="array" ref="D83">IF(IFERROR(MIN(_xlfn._xlws.FILTER(Tabla1[[#Data],[Temperatura]],Tabla1[[ID]:[ID]]=$A83,0)),"")=0,"",IFERROR(MIN(_xlfn._xlws.FILTER(Tabla1[[#Data],[Temperatura]],Tabla1[[ID]:[ID]]=$A83,0)),""))</f>
        <v/>
      </c>
      <c r="E83" t="str" cm="1">
        <f t="array" ref="E83">IFERROR(AVERAGE(_xlfn._xlws.FILTER(Tabla1[[#Data],[Humidade]],Tabla1[[ID]:[ID]]=$A83,0)),"")</f>
        <v/>
      </c>
      <c r="F83" t="str" cm="1">
        <f t="array" ref="F83">IF(IFERROR(MAX(_xlfn._xlws.FILTER(Tabla1[[#Data],[Humidade]],Tabla1[[ID]:[ID]]=$A83,0)),"")=0,"",IFERROR(MAX(_xlfn._xlws.FILTER(Tabla1[[#Data],[Humidade]],Tabla1[[ID]:[ID]]=$A83,0)),""))</f>
        <v/>
      </c>
      <c r="G83" t="str" cm="1">
        <f t="array" ref="G83">IF(IFERROR(MIN(_xlfn._xlws.FILTER(Tabla1[[#Data],[Humidade]],Tabla1[[ID]:[ID]]=$A83,0)),"")=0,"",IFERROR(MIN(_xlfn._xlws.FILTER(Tabla1[[#Data],[Humidade]],Tabla1[[ID]:[ID]]=$A83,0)),""))</f>
        <v/>
      </c>
      <c r="H83" t="str" cm="1">
        <f t="array" ref="H83">IFERROR(AVERAGE(_xlfn._xlws.FILTER(Tabla1[[#Data],[AcX]],Tabla1[[ID]:[ID]]=$A83,0)),"")</f>
        <v/>
      </c>
      <c r="I83" t="str" cm="1">
        <f t="array" ref="I83">IF(IFERROR(MAX(_xlfn._xlws.FILTER(Tabla1[[#Data],[AcX]],Tabla1[[ID]:[ID]]=$A83,0)),"")=0,"",IFERROR(MAX(_xlfn._xlws.FILTER(Tabla1[[#Data],[AcX]],Tabla1[[ID]:[ID]]=$A83,0)),""))</f>
        <v/>
      </c>
      <c r="J83" t="str" cm="1">
        <f t="array" ref="J83">IF(IFERROR(MIN(_xlfn._xlws.FILTER(Tabla1[[#Data],[AcX]],Tabla1[[ID]:[ID]]=$A83,0)),"")=0,"",IFERROR(MIN(_xlfn._xlws.FILTER(Tabla1[[#Data],[AcX]],Tabla1[[ID]:[ID]]=$A83,0)),""))</f>
        <v/>
      </c>
      <c r="K83" t="str" cm="1">
        <f t="array" ref="K83">IFERROR(AVERAGE(_xlfn._xlws.FILTER(Tabla1[[#Data],[AcY]],Tabla1[[ID]:[ID]]=$A83,0)),"")</f>
        <v/>
      </c>
      <c r="L83" t="str" cm="1">
        <f t="array" ref="L83">IF(IFERROR(MAX(_xlfn._xlws.FILTER(Tabla1[[#Data],[AcY]],Tabla1[[ID]:[ID]]=$A83,0)),"")=0,"",IFERROR(MAX(_xlfn._xlws.FILTER(Tabla1[[#Data],[AcY]],Tabla1[[ID]:[ID]]=$A83,0)),""))</f>
        <v/>
      </c>
      <c r="M83" t="str" cm="1">
        <f t="array" ref="M83">IF(IFERROR(MIN(_xlfn._xlws.FILTER(Tabla1[[#Data],[AcY]],Tabla1[[ID]:[ID]]=$A83,0)),"")=0,"",IFERROR(MIN(_xlfn._xlws.FILTER(Tabla1[[#Data],[AcY]],Tabla1[[ID]:[ID]]=$A83,0)),""))</f>
        <v/>
      </c>
      <c r="N83" t="str" cm="1">
        <f t="array" ref="N83">IFERROR(AVERAGE(_xlfn._xlws.FILTER(Tabla1[[#Data],[AcZ]],Tabla1[[ID]:[ID]]=$A83,0)),"")</f>
        <v/>
      </c>
      <c r="O83" t="str" cm="1">
        <f t="array" ref="O83">IF(IFERROR(MAX(_xlfn._xlws.FILTER(Tabla1[[#Data],[AcZ]],Tabla1[[ID]:[ID]]=$A83,0)),"")=0,"",IFERROR(MAX(_xlfn._xlws.FILTER(Tabla1[[#Data],[AcZ]],Tabla1[[ID]:[ID]]=$A83,0)),""))</f>
        <v/>
      </c>
      <c r="P83" t="str" cm="1">
        <f t="array" ref="P83">IF(IFERROR(MIN(_xlfn._xlws.FILTER(Tabla1[[#Data],[AcZ]],Tabla1[[ID]:[ID]]=$A83,0)),"")=0,"",IFERROR(MIN(_xlfn._xlws.FILTER(Tabla1[[#Data],[AcZ]],Tabla1[[ID]:[ID]]=$A83,0)),""))</f>
        <v/>
      </c>
      <c r="Q83" t="str" cm="1">
        <f t="array" ref="Q83">IFERROR(AVERAGE(_xlfn._xlws.FILTER(Tabla1[[#Data],[GyX]],Tabla1[[ID]:[ID]]=$A83,0)),"")</f>
        <v/>
      </c>
      <c r="R83" t="str" cm="1">
        <f t="array" ref="R83">IF(IFERROR(MAX(_xlfn._xlws.FILTER(Tabla1[[#Data],[GyX]],Tabla1[[ID]:[ID]]=$A83,0)),"")=0,"",IFERROR(MAX(_xlfn._xlws.FILTER(Tabla1[[#Data],[GyX]],Tabla1[[ID]:[ID]]=$A83,0)),""))</f>
        <v/>
      </c>
      <c r="S83" t="str" cm="1">
        <f t="array" ref="S83">IF(IFERROR(MIN(_xlfn._xlws.FILTER(Tabla1[[#Data],[GyX]],Tabla1[[ID]:[ID]]=$A83,0)),"")=0,"",IFERROR(MIN(_xlfn._xlws.FILTER(Tabla1[[#Data],[GyX]],Tabla1[[ID]:[ID]]=$A83,0)),""))</f>
        <v/>
      </c>
      <c r="T83" t="str" cm="1">
        <f t="array" ref="T83">IFERROR(AVERAGE(_xlfn._xlws.FILTER(Tabla1[[#Data],[GyY]],Tabla1[[ID]:[ID]]=$A83,0)),"")</f>
        <v/>
      </c>
      <c r="U83" t="str" cm="1">
        <f t="array" ref="U83">IF(IFERROR(MAX(_xlfn._xlws.FILTER(Tabla1[[#Data],[GyY]],Tabla1[[ID]:[ID]]=$A83,0)),"")=0,"",IFERROR(MAX(_xlfn._xlws.FILTER(Tabla1[[#Data],[GyY]],Tabla1[[ID]:[ID]]=$A83,0)),""))</f>
        <v/>
      </c>
      <c r="V83" t="str" cm="1">
        <f t="array" ref="V83">IF(IFERROR(MIN(_xlfn._xlws.FILTER(Tabla1[[#Data],[GyY]],Tabla1[[ID]:[ID]]=$A83,0)),"")=0,"",IFERROR(MIN(_xlfn._xlws.FILTER(Tabla1[[#Data],[GyY]],Tabla1[[ID]:[ID]]=$A83,0)),""))</f>
        <v/>
      </c>
      <c r="W83" t="str" cm="1">
        <f t="array" ref="W83">IFERROR(AVERAGE(_xlfn._xlws.FILTER(Tabla1[[#Data],[GyZ]],Tabla1[[ID]:[ID]]=$A83,0)),"")</f>
        <v/>
      </c>
      <c r="X83" t="str" cm="1">
        <f t="array" ref="X83">IF(IFERROR(MAX(_xlfn._xlws.FILTER(Tabla1[[#Data],[GyZ]],Tabla1[[ID]:[ID]]=$A83,0)),"")=0,"",IFERROR(MAX(_xlfn._xlws.FILTER(Tabla1[[#Data],[GyZ]],Tabla1[[ID]:[ID]]=$A83,0)),""))</f>
        <v/>
      </c>
      <c r="Y83" t="str" cm="1">
        <f t="array" ref="Y83">IF(IFERROR(MIN(_xlfn._xlws.FILTER(Tabla1[[#Data],[GyZ]],Tabla1[[ID]:[ID]]=$A83,0)),"")=0,"",IFERROR(MIN(_xlfn._xlws.FILTER(Tabla1[[#Data],[GyZ]],Tabla1[[ID]:[ID]]=$A83,0)),""))</f>
        <v/>
      </c>
      <c r="Z83" t="str" cm="1">
        <f t="array" ref="Z83">IF(ISNUMBER(A83),IF(ISNUMBER(MATCH(1,_xlfn._xlws.FILTER(Tabla1[[#Data],[Open]],Tabla1[[ID]:[ID]]=$A83,""))),1,0),"")</f>
        <v/>
      </c>
      <c r="AA83" t="str">
        <f t="shared" si="10"/>
        <v/>
      </c>
      <c r="AB83" t="str">
        <f t="shared" si="11"/>
        <v/>
      </c>
      <c r="AC83" t="str">
        <f t="shared" si="12"/>
        <v/>
      </c>
      <c r="AD83" t="str">
        <f t="shared" si="13"/>
        <v/>
      </c>
      <c r="AE83" t="str">
        <f t="shared" si="14"/>
        <v/>
      </c>
      <c r="AF83" t="str">
        <f t="shared" si="15"/>
        <v/>
      </c>
      <c r="AG83" t="str">
        <f t="shared" si="16"/>
        <v/>
      </c>
      <c r="AH83" t="str">
        <f t="shared" si="17"/>
        <v/>
      </c>
      <c r="AI83" t="str">
        <f t="shared" si="18"/>
        <v/>
      </c>
      <c r="AJ83" t="str">
        <f t="shared" si="19"/>
        <v/>
      </c>
    </row>
    <row r="84" spans="2:36" x14ac:dyDescent="0.35">
      <c r="B84" t="str" cm="1">
        <f t="array" ref="B84">IFERROR(AVERAGE(_xlfn._xlws.FILTER(Tabla1[[#Data],[Temperatura]],Tabla1[[ID]:[ID]]=$A84,0)),"")</f>
        <v/>
      </c>
      <c r="C84" t="str" cm="1">
        <f t="array" ref="C84">IF(IFERROR(MAX(_xlfn._xlws.FILTER(Tabla1[[#Data],[Temperatura]],Tabla1[[ID]:[ID]]=$A84,0)),"")=0,"",IFERROR(MAX(_xlfn._xlws.FILTER(Tabla1[[#Data],[Temperatura]],Tabla1[[ID]:[ID]]=$A84,0)),""))</f>
        <v/>
      </c>
      <c r="D84" t="str" cm="1">
        <f t="array" ref="D84">IF(IFERROR(MIN(_xlfn._xlws.FILTER(Tabla1[[#Data],[Temperatura]],Tabla1[[ID]:[ID]]=$A84,0)),"")=0,"",IFERROR(MIN(_xlfn._xlws.FILTER(Tabla1[[#Data],[Temperatura]],Tabla1[[ID]:[ID]]=$A84,0)),""))</f>
        <v/>
      </c>
      <c r="E84" t="str" cm="1">
        <f t="array" ref="E84">IFERROR(AVERAGE(_xlfn._xlws.FILTER(Tabla1[[#Data],[Humidade]],Tabla1[[ID]:[ID]]=$A84,0)),"")</f>
        <v/>
      </c>
      <c r="F84" t="str" cm="1">
        <f t="array" ref="F84">IF(IFERROR(MAX(_xlfn._xlws.FILTER(Tabla1[[#Data],[Humidade]],Tabla1[[ID]:[ID]]=$A84,0)),"")=0,"",IFERROR(MAX(_xlfn._xlws.FILTER(Tabla1[[#Data],[Humidade]],Tabla1[[ID]:[ID]]=$A84,0)),""))</f>
        <v/>
      </c>
      <c r="G84" t="str" cm="1">
        <f t="array" ref="G84">IF(IFERROR(MIN(_xlfn._xlws.FILTER(Tabla1[[#Data],[Humidade]],Tabla1[[ID]:[ID]]=$A84,0)),"")=0,"",IFERROR(MIN(_xlfn._xlws.FILTER(Tabla1[[#Data],[Humidade]],Tabla1[[ID]:[ID]]=$A84,0)),""))</f>
        <v/>
      </c>
      <c r="H84" t="str" cm="1">
        <f t="array" ref="H84">IFERROR(AVERAGE(_xlfn._xlws.FILTER(Tabla1[[#Data],[AcX]],Tabla1[[ID]:[ID]]=$A84,0)),"")</f>
        <v/>
      </c>
      <c r="I84" t="str" cm="1">
        <f t="array" ref="I84">IF(IFERROR(MAX(_xlfn._xlws.FILTER(Tabla1[[#Data],[AcX]],Tabla1[[ID]:[ID]]=$A84,0)),"")=0,"",IFERROR(MAX(_xlfn._xlws.FILTER(Tabla1[[#Data],[AcX]],Tabla1[[ID]:[ID]]=$A84,0)),""))</f>
        <v/>
      </c>
      <c r="J84" t="str" cm="1">
        <f t="array" ref="J84">IF(IFERROR(MIN(_xlfn._xlws.FILTER(Tabla1[[#Data],[AcX]],Tabla1[[ID]:[ID]]=$A84,0)),"")=0,"",IFERROR(MIN(_xlfn._xlws.FILTER(Tabla1[[#Data],[AcX]],Tabla1[[ID]:[ID]]=$A84,0)),""))</f>
        <v/>
      </c>
      <c r="K84" t="str" cm="1">
        <f t="array" ref="K84">IFERROR(AVERAGE(_xlfn._xlws.FILTER(Tabla1[[#Data],[AcY]],Tabla1[[ID]:[ID]]=$A84,0)),"")</f>
        <v/>
      </c>
      <c r="L84" t="str" cm="1">
        <f t="array" ref="L84">IF(IFERROR(MAX(_xlfn._xlws.FILTER(Tabla1[[#Data],[AcY]],Tabla1[[ID]:[ID]]=$A84,0)),"")=0,"",IFERROR(MAX(_xlfn._xlws.FILTER(Tabla1[[#Data],[AcY]],Tabla1[[ID]:[ID]]=$A84,0)),""))</f>
        <v/>
      </c>
      <c r="M84" t="str" cm="1">
        <f t="array" ref="M84">IF(IFERROR(MIN(_xlfn._xlws.FILTER(Tabla1[[#Data],[AcY]],Tabla1[[ID]:[ID]]=$A84,0)),"")=0,"",IFERROR(MIN(_xlfn._xlws.FILTER(Tabla1[[#Data],[AcY]],Tabla1[[ID]:[ID]]=$A84,0)),""))</f>
        <v/>
      </c>
      <c r="N84" t="str" cm="1">
        <f t="array" ref="N84">IFERROR(AVERAGE(_xlfn._xlws.FILTER(Tabla1[[#Data],[AcZ]],Tabla1[[ID]:[ID]]=$A84,0)),"")</f>
        <v/>
      </c>
      <c r="O84" t="str" cm="1">
        <f t="array" ref="O84">IF(IFERROR(MAX(_xlfn._xlws.FILTER(Tabla1[[#Data],[AcZ]],Tabla1[[ID]:[ID]]=$A84,0)),"")=0,"",IFERROR(MAX(_xlfn._xlws.FILTER(Tabla1[[#Data],[AcZ]],Tabla1[[ID]:[ID]]=$A84,0)),""))</f>
        <v/>
      </c>
      <c r="P84" t="str" cm="1">
        <f t="array" ref="P84">IF(IFERROR(MIN(_xlfn._xlws.FILTER(Tabla1[[#Data],[AcZ]],Tabla1[[ID]:[ID]]=$A84,0)),"")=0,"",IFERROR(MIN(_xlfn._xlws.FILTER(Tabla1[[#Data],[AcZ]],Tabla1[[ID]:[ID]]=$A84,0)),""))</f>
        <v/>
      </c>
      <c r="Q84" t="str" cm="1">
        <f t="array" ref="Q84">IFERROR(AVERAGE(_xlfn._xlws.FILTER(Tabla1[[#Data],[GyX]],Tabla1[[ID]:[ID]]=$A84,0)),"")</f>
        <v/>
      </c>
      <c r="R84" t="str" cm="1">
        <f t="array" ref="R84">IF(IFERROR(MAX(_xlfn._xlws.FILTER(Tabla1[[#Data],[GyX]],Tabla1[[ID]:[ID]]=$A84,0)),"")=0,"",IFERROR(MAX(_xlfn._xlws.FILTER(Tabla1[[#Data],[GyX]],Tabla1[[ID]:[ID]]=$A84,0)),""))</f>
        <v/>
      </c>
      <c r="S84" t="str" cm="1">
        <f t="array" ref="S84">IF(IFERROR(MIN(_xlfn._xlws.FILTER(Tabla1[[#Data],[GyX]],Tabla1[[ID]:[ID]]=$A84,0)),"")=0,"",IFERROR(MIN(_xlfn._xlws.FILTER(Tabla1[[#Data],[GyX]],Tabla1[[ID]:[ID]]=$A84,0)),""))</f>
        <v/>
      </c>
      <c r="T84" t="str" cm="1">
        <f t="array" ref="T84">IFERROR(AVERAGE(_xlfn._xlws.FILTER(Tabla1[[#Data],[GyY]],Tabla1[[ID]:[ID]]=$A84,0)),"")</f>
        <v/>
      </c>
      <c r="U84" t="str" cm="1">
        <f t="array" ref="U84">IF(IFERROR(MAX(_xlfn._xlws.FILTER(Tabla1[[#Data],[GyY]],Tabla1[[ID]:[ID]]=$A84,0)),"")=0,"",IFERROR(MAX(_xlfn._xlws.FILTER(Tabla1[[#Data],[GyY]],Tabla1[[ID]:[ID]]=$A84,0)),""))</f>
        <v/>
      </c>
      <c r="V84" t="str" cm="1">
        <f t="array" ref="V84">IF(IFERROR(MIN(_xlfn._xlws.FILTER(Tabla1[[#Data],[GyY]],Tabla1[[ID]:[ID]]=$A84,0)),"")=0,"",IFERROR(MIN(_xlfn._xlws.FILTER(Tabla1[[#Data],[GyY]],Tabla1[[ID]:[ID]]=$A84,0)),""))</f>
        <v/>
      </c>
      <c r="W84" t="str" cm="1">
        <f t="array" ref="W84">IFERROR(AVERAGE(_xlfn._xlws.FILTER(Tabla1[[#Data],[GyZ]],Tabla1[[ID]:[ID]]=$A84,0)),"")</f>
        <v/>
      </c>
      <c r="X84" t="str" cm="1">
        <f t="array" ref="X84">IF(IFERROR(MAX(_xlfn._xlws.FILTER(Tabla1[[#Data],[GyZ]],Tabla1[[ID]:[ID]]=$A84,0)),"")=0,"",IFERROR(MAX(_xlfn._xlws.FILTER(Tabla1[[#Data],[GyZ]],Tabla1[[ID]:[ID]]=$A84,0)),""))</f>
        <v/>
      </c>
      <c r="Y84" t="str" cm="1">
        <f t="array" ref="Y84">IF(IFERROR(MIN(_xlfn._xlws.FILTER(Tabla1[[#Data],[GyZ]],Tabla1[[ID]:[ID]]=$A84,0)),"")=0,"",IFERROR(MIN(_xlfn._xlws.FILTER(Tabla1[[#Data],[GyZ]],Tabla1[[ID]:[ID]]=$A84,0)),""))</f>
        <v/>
      </c>
      <c r="Z84" t="str" cm="1">
        <f t="array" ref="Z84">IF(ISNUMBER(A84),IF(ISNUMBER(MATCH(1,_xlfn._xlws.FILTER(Tabla1[[#Data],[Open]],Tabla1[[ID]:[ID]]=$A84,""))),1,0),"")</f>
        <v/>
      </c>
      <c r="AA84" t="str">
        <f t="shared" si="10"/>
        <v/>
      </c>
      <c r="AB84" t="str">
        <f t="shared" si="11"/>
        <v/>
      </c>
      <c r="AC84" t="str">
        <f t="shared" si="12"/>
        <v/>
      </c>
      <c r="AD84" t="str">
        <f t="shared" si="13"/>
        <v/>
      </c>
      <c r="AE84" t="str">
        <f t="shared" si="14"/>
        <v/>
      </c>
      <c r="AF84" t="str">
        <f t="shared" si="15"/>
        <v/>
      </c>
      <c r="AG84" t="str">
        <f t="shared" si="16"/>
        <v/>
      </c>
      <c r="AH84" t="str">
        <f t="shared" si="17"/>
        <v/>
      </c>
      <c r="AI84" t="str">
        <f t="shared" si="18"/>
        <v/>
      </c>
      <c r="AJ84" t="str">
        <f t="shared" si="19"/>
        <v/>
      </c>
    </row>
    <row r="85" spans="2:36" x14ac:dyDescent="0.35">
      <c r="B85" t="str" cm="1">
        <f t="array" ref="B85">IFERROR(AVERAGE(_xlfn._xlws.FILTER(Tabla1[[#Data],[Temperatura]],Tabla1[[ID]:[ID]]=$A85,0)),"")</f>
        <v/>
      </c>
      <c r="C85" t="str" cm="1">
        <f t="array" ref="C85">IF(IFERROR(MAX(_xlfn._xlws.FILTER(Tabla1[[#Data],[Temperatura]],Tabla1[[ID]:[ID]]=$A85,0)),"")=0,"",IFERROR(MAX(_xlfn._xlws.FILTER(Tabla1[[#Data],[Temperatura]],Tabla1[[ID]:[ID]]=$A85,0)),""))</f>
        <v/>
      </c>
      <c r="D85" t="str" cm="1">
        <f t="array" ref="D85">IF(IFERROR(MIN(_xlfn._xlws.FILTER(Tabla1[[#Data],[Temperatura]],Tabla1[[ID]:[ID]]=$A85,0)),"")=0,"",IFERROR(MIN(_xlfn._xlws.FILTER(Tabla1[[#Data],[Temperatura]],Tabla1[[ID]:[ID]]=$A85,0)),""))</f>
        <v/>
      </c>
      <c r="E85" t="str" cm="1">
        <f t="array" ref="E85">IFERROR(AVERAGE(_xlfn._xlws.FILTER(Tabla1[[#Data],[Humidade]],Tabla1[[ID]:[ID]]=$A85,0)),"")</f>
        <v/>
      </c>
      <c r="F85" t="str" cm="1">
        <f t="array" ref="F85">IF(IFERROR(MAX(_xlfn._xlws.FILTER(Tabla1[[#Data],[Humidade]],Tabla1[[ID]:[ID]]=$A85,0)),"")=0,"",IFERROR(MAX(_xlfn._xlws.FILTER(Tabla1[[#Data],[Humidade]],Tabla1[[ID]:[ID]]=$A85,0)),""))</f>
        <v/>
      </c>
      <c r="G85" t="str" cm="1">
        <f t="array" ref="G85">IF(IFERROR(MIN(_xlfn._xlws.FILTER(Tabla1[[#Data],[Humidade]],Tabla1[[ID]:[ID]]=$A85,0)),"")=0,"",IFERROR(MIN(_xlfn._xlws.FILTER(Tabla1[[#Data],[Humidade]],Tabla1[[ID]:[ID]]=$A85,0)),""))</f>
        <v/>
      </c>
      <c r="H85" t="str" cm="1">
        <f t="array" ref="H85">IFERROR(AVERAGE(_xlfn._xlws.FILTER(Tabla1[[#Data],[AcX]],Tabla1[[ID]:[ID]]=$A85,0)),"")</f>
        <v/>
      </c>
      <c r="I85" t="str" cm="1">
        <f t="array" ref="I85">IF(IFERROR(MAX(_xlfn._xlws.FILTER(Tabla1[[#Data],[AcX]],Tabla1[[ID]:[ID]]=$A85,0)),"")=0,"",IFERROR(MAX(_xlfn._xlws.FILTER(Tabla1[[#Data],[AcX]],Tabla1[[ID]:[ID]]=$A85,0)),""))</f>
        <v/>
      </c>
      <c r="J85" t="str" cm="1">
        <f t="array" ref="J85">IF(IFERROR(MIN(_xlfn._xlws.FILTER(Tabla1[[#Data],[AcX]],Tabla1[[ID]:[ID]]=$A85,0)),"")=0,"",IFERROR(MIN(_xlfn._xlws.FILTER(Tabla1[[#Data],[AcX]],Tabla1[[ID]:[ID]]=$A85,0)),""))</f>
        <v/>
      </c>
      <c r="K85" t="str" cm="1">
        <f t="array" ref="K85">IFERROR(AVERAGE(_xlfn._xlws.FILTER(Tabla1[[#Data],[AcY]],Tabla1[[ID]:[ID]]=$A85,0)),"")</f>
        <v/>
      </c>
      <c r="L85" t="str" cm="1">
        <f t="array" ref="L85">IF(IFERROR(MAX(_xlfn._xlws.FILTER(Tabla1[[#Data],[AcY]],Tabla1[[ID]:[ID]]=$A85,0)),"")=0,"",IFERROR(MAX(_xlfn._xlws.FILTER(Tabla1[[#Data],[AcY]],Tabla1[[ID]:[ID]]=$A85,0)),""))</f>
        <v/>
      </c>
      <c r="M85" t="str" cm="1">
        <f t="array" ref="M85">IF(IFERROR(MIN(_xlfn._xlws.FILTER(Tabla1[[#Data],[AcY]],Tabla1[[ID]:[ID]]=$A85,0)),"")=0,"",IFERROR(MIN(_xlfn._xlws.FILTER(Tabla1[[#Data],[AcY]],Tabla1[[ID]:[ID]]=$A85,0)),""))</f>
        <v/>
      </c>
      <c r="N85" t="str" cm="1">
        <f t="array" ref="N85">IFERROR(AVERAGE(_xlfn._xlws.FILTER(Tabla1[[#Data],[AcZ]],Tabla1[[ID]:[ID]]=$A85,0)),"")</f>
        <v/>
      </c>
      <c r="O85" t="str" cm="1">
        <f t="array" ref="O85">IF(IFERROR(MAX(_xlfn._xlws.FILTER(Tabla1[[#Data],[AcZ]],Tabla1[[ID]:[ID]]=$A85,0)),"")=0,"",IFERROR(MAX(_xlfn._xlws.FILTER(Tabla1[[#Data],[AcZ]],Tabla1[[ID]:[ID]]=$A85,0)),""))</f>
        <v/>
      </c>
      <c r="P85" t="str" cm="1">
        <f t="array" ref="P85">IF(IFERROR(MIN(_xlfn._xlws.FILTER(Tabla1[[#Data],[AcZ]],Tabla1[[ID]:[ID]]=$A85,0)),"")=0,"",IFERROR(MIN(_xlfn._xlws.FILTER(Tabla1[[#Data],[AcZ]],Tabla1[[ID]:[ID]]=$A85,0)),""))</f>
        <v/>
      </c>
      <c r="Q85" t="str" cm="1">
        <f t="array" ref="Q85">IFERROR(AVERAGE(_xlfn._xlws.FILTER(Tabla1[[#Data],[GyX]],Tabla1[[ID]:[ID]]=$A85,0)),"")</f>
        <v/>
      </c>
      <c r="R85" t="str" cm="1">
        <f t="array" ref="R85">IF(IFERROR(MAX(_xlfn._xlws.FILTER(Tabla1[[#Data],[GyX]],Tabla1[[ID]:[ID]]=$A85,0)),"")=0,"",IFERROR(MAX(_xlfn._xlws.FILTER(Tabla1[[#Data],[GyX]],Tabla1[[ID]:[ID]]=$A85,0)),""))</f>
        <v/>
      </c>
      <c r="S85" t="str" cm="1">
        <f t="array" ref="S85">IF(IFERROR(MIN(_xlfn._xlws.FILTER(Tabla1[[#Data],[GyX]],Tabla1[[ID]:[ID]]=$A85,0)),"")=0,"",IFERROR(MIN(_xlfn._xlws.FILTER(Tabla1[[#Data],[GyX]],Tabla1[[ID]:[ID]]=$A85,0)),""))</f>
        <v/>
      </c>
      <c r="T85" t="str" cm="1">
        <f t="array" ref="T85">IFERROR(AVERAGE(_xlfn._xlws.FILTER(Tabla1[[#Data],[GyY]],Tabla1[[ID]:[ID]]=$A85,0)),"")</f>
        <v/>
      </c>
      <c r="U85" t="str" cm="1">
        <f t="array" ref="U85">IF(IFERROR(MAX(_xlfn._xlws.FILTER(Tabla1[[#Data],[GyY]],Tabla1[[ID]:[ID]]=$A85,0)),"")=0,"",IFERROR(MAX(_xlfn._xlws.FILTER(Tabla1[[#Data],[GyY]],Tabla1[[ID]:[ID]]=$A85,0)),""))</f>
        <v/>
      </c>
      <c r="V85" t="str" cm="1">
        <f t="array" ref="V85">IF(IFERROR(MIN(_xlfn._xlws.FILTER(Tabla1[[#Data],[GyY]],Tabla1[[ID]:[ID]]=$A85,0)),"")=0,"",IFERROR(MIN(_xlfn._xlws.FILTER(Tabla1[[#Data],[GyY]],Tabla1[[ID]:[ID]]=$A85,0)),""))</f>
        <v/>
      </c>
      <c r="W85" t="str" cm="1">
        <f t="array" ref="W85">IFERROR(AVERAGE(_xlfn._xlws.FILTER(Tabla1[[#Data],[GyZ]],Tabla1[[ID]:[ID]]=$A85,0)),"")</f>
        <v/>
      </c>
      <c r="X85" t="str" cm="1">
        <f t="array" ref="X85">IF(IFERROR(MAX(_xlfn._xlws.FILTER(Tabla1[[#Data],[GyZ]],Tabla1[[ID]:[ID]]=$A85,0)),"")=0,"",IFERROR(MAX(_xlfn._xlws.FILTER(Tabla1[[#Data],[GyZ]],Tabla1[[ID]:[ID]]=$A85,0)),""))</f>
        <v/>
      </c>
      <c r="Y85" t="str" cm="1">
        <f t="array" ref="Y85">IF(IFERROR(MIN(_xlfn._xlws.FILTER(Tabla1[[#Data],[GyZ]],Tabla1[[ID]:[ID]]=$A85,0)),"")=0,"",IFERROR(MIN(_xlfn._xlws.FILTER(Tabla1[[#Data],[GyZ]],Tabla1[[ID]:[ID]]=$A85,0)),""))</f>
        <v/>
      </c>
      <c r="Z85" t="str" cm="1">
        <f t="array" ref="Z85">IF(ISNUMBER(A85),IF(ISNUMBER(MATCH(1,_xlfn._xlws.FILTER(Tabla1[[#Data],[Open]],Tabla1[[ID]:[ID]]=$A85,""))),1,0),"")</f>
        <v/>
      </c>
      <c r="AA85" t="str">
        <f t="shared" si="10"/>
        <v/>
      </c>
      <c r="AB85" t="str">
        <f t="shared" si="11"/>
        <v/>
      </c>
      <c r="AC85" t="str">
        <f t="shared" si="12"/>
        <v/>
      </c>
      <c r="AD85" t="str">
        <f t="shared" si="13"/>
        <v/>
      </c>
      <c r="AE85" t="str">
        <f t="shared" si="14"/>
        <v/>
      </c>
      <c r="AF85" t="str">
        <f t="shared" si="15"/>
        <v/>
      </c>
      <c r="AG85" t="str">
        <f t="shared" si="16"/>
        <v/>
      </c>
      <c r="AH85" t="str">
        <f t="shared" si="17"/>
        <v/>
      </c>
      <c r="AI85" t="str">
        <f t="shared" si="18"/>
        <v/>
      </c>
      <c r="AJ85" t="str">
        <f t="shared" si="19"/>
        <v/>
      </c>
    </row>
    <row r="86" spans="2:36" x14ac:dyDescent="0.35">
      <c r="B86" t="str" cm="1">
        <f t="array" ref="B86">IFERROR(AVERAGE(_xlfn._xlws.FILTER(Tabla1[[#Data],[Temperatura]],Tabla1[[ID]:[ID]]=$A86,0)),"")</f>
        <v/>
      </c>
      <c r="C86" t="str" cm="1">
        <f t="array" ref="C86">IF(IFERROR(MAX(_xlfn._xlws.FILTER(Tabla1[[#Data],[Temperatura]],Tabla1[[ID]:[ID]]=$A86,0)),"")=0,"",IFERROR(MAX(_xlfn._xlws.FILTER(Tabla1[[#Data],[Temperatura]],Tabla1[[ID]:[ID]]=$A86,0)),""))</f>
        <v/>
      </c>
      <c r="D86" t="str" cm="1">
        <f t="array" ref="D86">IF(IFERROR(MIN(_xlfn._xlws.FILTER(Tabla1[[#Data],[Temperatura]],Tabla1[[ID]:[ID]]=$A86,0)),"")=0,"",IFERROR(MIN(_xlfn._xlws.FILTER(Tabla1[[#Data],[Temperatura]],Tabla1[[ID]:[ID]]=$A86,0)),""))</f>
        <v/>
      </c>
      <c r="E86" t="str" cm="1">
        <f t="array" ref="E86">IFERROR(AVERAGE(_xlfn._xlws.FILTER(Tabla1[[#Data],[Humidade]],Tabla1[[ID]:[ID]]=$A86,0)),"")</f>
        <v/>
      </c>
      <c r="F86" t="str" cm="1">
        <f t="array" ref="F86">IF(IFERROR(MAX(_xlfn._xlws.FILTER(Tabla1[[#Data],[Humidade]],Tabla1[[ID]:[ID]]=$A86,0)),"")=0,"",IFERROR(MAX(_xlfn._xlws.FILTER(Tabla1[[#Data],[Humidade]],Tabla1[[ID]:[ID]]=$A86,0)),""))</f>
        <v/>
      </c>
      <c r="G86" t="str" cm="1">
        <f t="array" ref="G86">IF(IFERROR(MIN(_xlfn._xlws.FILTER(Tabla1[[#Data],[Humidade]],Tabla1[[ID]:[ID]]=$A86,0)),"")=0,"",IFERROR(MIN(_xlfn._xlws.FILTER(Tabla1[[#Data],[Humidade]],Tabla1[[ID]:[ID]]=$A86,0)),""))</f>
        <v/>
      </c>
      <c r="H86" t="str" cm="1">
        <f t="array" ref="H86">IFERROR(AVERAGE(_xlfn._xlws.FILTER(Tabla1[[#Data],[AcX]],Tabla1[[ID]:[ID]]=$A86,0)),"")</f>
        <v/>
      </c>
      <c r="I86" t="str" cm="1">
        <f t="array" ref="I86">IF(IFERROR(MAX(_xlfn._xlws.FILTER(Tabla1[[#Data],[AcX]],Tabla1[[ID]:[ID]]=$A86,0)),"")=0,"",IFERROR(MAX(_xlfn._xlws.FILTER(Tabla1[[#Data],[AcX]],Tabla1[[ID]:[ID]]=$A86,0)),""))</f>
        <v/>
      </c>
      <c r="J86" t="str" cm="1">
        <f t="array" ref="J86">IF(IFERROR(MIN(_xlfn._xlws.FILTER(Tabla1[[#Data],[AcX]],Tabla1[[ID]:[ID]]=$A86,0)),"")=0,"",IFERROR(MIN(_xlfn._xlws.FILTER(Tabla1[[#Data],[AcX]],Tabla1[[ID]:[ID]]=$A86,0)),""))</f>
        <v/>
      </c>
      <c r="K86" t="str" cm="1">
        <f t="array" ref="K86">IFERROR(AVERAGE(_xlfn._xlws.FILTER(Tabla1[[#Data],[AcY]],Tabla1[[ID]:[ID]]=$A86,0)),"")</f>
        <v/>
      </c>
      <c r="L86" t="str" cm="1">
        <f t="array" ref="L86">IF(IFERROR(MAX(_xlfn._xlws.FILTER(Tabla1[[#Data],[AcY]],Tabla1[[ID]:[ID]]=$A86,0)),"")=0,"",IFERROR(MAX(_xlfn._xlws.FILTER(Tabla1[[#Data],[AcY]],Tabla1[[ID]:[ID]]=$A86,0)),""))</f>
        <v/>
      </c>
      <c r="M86" t="str" cm="1">
        <f t="array" ref="M86">IF(IFERROR(MIN(_xlfn._xlws.FILTER(Tabla1[[#Data],[AcY]],Tabla1[[ID]:[ID]]=$A86,0)),"")=0,"",IFERROR(MIN(_xlfn._xlws.FILTER(Tabla1[[#Data],[AcY]],Tabla1[[ID]:[ID]]=$A86,0)),""))</f>
        <v/>
      </c>
      <c r="N86" t="str" cm="1">
        <f t="array" ref="N86">IFERROR(AVERAGE(_xlfn._xlws.FILTER(Tabla1[[#Data],[AcZ]],Tabla1[[ID]:[ID]]=$A86,0)),"")</f>
        <v/>
      </c>
      <c r="O86" t="str" cm="1">
        <f t="array" ref="O86">IF(IFERROR(MAX(_xlfn._xlws.FILTER(Tabla1[[#Data],[AcZ]],Tabla1[[ID]:[ID]]=$A86,0)),"")=0,"",IFERROR(MAX(_xlfn._xlws.FILTER(Tabla1[[#Data],[AcZ]],Tabla1[[ID]:[ID]]=$A86,0)),""))</f>
        <v/>
      </c>
      <c r="P86" t="str" cm="1">
        <f t="array" ref="P86">IF(IFERROR(MIN(_xlfn._xlws.FILTER(Tabla1[[#Data],[AcZ]],Tabla1[[ID]:[ID]]=$A86,0)),"")=0,"",IFERROR(MIN(_xlfn._xlws.FILTER(Tabla1[[#Data],[AcZ]],Tabla1[[ID]:[ID]]=$A86,0)),""))</f>
        <v/>
      </c>
      <c r="Q86" t="str" cm="1">
        <f t="array" ref="Q86">IFERROR(AVERAGE(_xlfn._xlws.FILTER(Tabla1[[#Data],[GyX]],Tabla1[[ID]:[ID]]=$A86,0)),"")</f>
        <v/>
      </c>
      <c r="R86" t="str" cm="1">
        <f t="array" ref="R86">IF(IFERROR(MAX(_xlfn._xlws.FILTER(Tabla1[[#Data],[GyX]],Tabla1[[ID]:[ID]]=$A86,0)),"")=0,"",IFERROR(MAX(_xlfn._xlws.FILTER(Tabla1[[#Data],[GyX]],Tabla1[[ID]:[ID]]=$A86,0)),""))</f>
        <v/>
      </c>
      <c r="S86" t="str" cm="1">
        <f t="array" ref="S86">IF(IFERROR(MIN(_xlfn._xlws.FILTER(Tabla1[[#Data],[GyX]],Tabla1[[ID]:[ID]]=$A86,0)),"")=0,"",IFERROR(MIN(_xlfn._xlws.FILTER(Tabla1[[#Data],[GyX]],Tabla1[[ID]:[ID]]=$A86,0)),""))</f>
        <v/>
      </c>
      <c r="T86" t="str" cm="1">
        <f t="array" ref="T86">IFERROR(AVERAGE(_xlfn._xlws.FILTER(Tabla1[[#Data],[GyY]],Tabla1[[ID]:[ID]]=$A86,0)),"")</f>
        <v/>
      </c>
      <c r="U86" t="str" cm="1">
        <f t="array" ref="U86">IF(IFERROR(MAX(_xlfn._xlws.FILTER(Tabla1[[#Data],[GyY]],Tabla1[[ID]:[ID]]=$A86,0)),"")=0,"",IFERROR(MAX(_xlfn._xlws.FILTER(Tabla1[[#Data],[GyY]],Tabla1[[ID]:[ID]]=$A86,0)),""))</f>
        <v/>
      </c>
      <c r="V86" t="str" cm="1">
        <f t="array" ref="V86">IF(IFERROR(MIN(_xlfn._xlws.FILTER(Tabla1[[#Data],[GyY]],Tabla1[[ID]:[ID]]=$A86,0)),"")=0,"",IFERROR(MIN(_xlfn._xlws.FILTER(Tabla1[[#Data],[GyY]],Tabla1[[ID]:[ID]]=$A86,0)),""))</f>
        <v/>
      </c>
      <c r="W86" t="str" cm="1">
        <f t="array" ref="W86">IFERROR(AVERAGE(_xlfn._xlws.FILTER(Tabla1[[#Data],[GyZ]],Tabla1[[ID]:[ID]]=$A86,0)),"")</f>
        <v/>
      </c>
      <c r="X86" t="str" cm="1">
        <f t="array" ref="X86">IF(IFERROR(MAX(_xlfn._xlws.FILTER(Tabla1[[#Data],[GyZ]],Tabla1[[ID]:[ID]]=$A86,0)),"")=0,"",IFERROR(MAX(_xlfn._xlws.FILTER(Tabla1[[#Data],[GyZ]],Tabla1[[ID]:[ID]]=$A86,0)),""))</f>
        <v/>
      </c>
      <c r="Y86" t="str" cm="1">
        <f t="array" ref="Y86">IF(IFERROR(MIN(_xlfn._xlws.FILTER(Tabla1[[#Data],[GyZ]],Tabla1[[ID]:[ID]]=$A86,0)),"")=0,"",IFERROR(MIN(_xlfn._xlws.FILTER(Tabla1[[#Data],[GyZ]],Tabla1[[ID]:[ID]]=$A86,0)),""))</f>
        <v/>
      </c>
      <c r="Z86" t="str" cm="1">
        <f t="array" ref="Z86">IF(ISNUMBER(A86),IF(ISNUMBER(MATCH(1,_xlfn._xlws.FILTER(Tabla1[[#Data],[Open]],Tabla1[[ID]:[ID]]=$A86,""))),1,0),"")</f>
        <v/>
      </c>
      <c r="AA86" t="str">
        <f t="shared" si="10"/>
        <v/>
      </c>
      <c r="AB86" t="str">
        <f t="shared" si="11"/>
        <v/>
      </c>
      <c r="AC86" t="str">
        <f t="shared" si="12"/>
        <v/>
      </c>
      <c r="AD86" t="str">
        <f t="shared" si="13"/>
        <v/>
      </c>
      <c r="AE86" t="str">
        <f t="shared" si="14"/>
        <v/>
      </c>
      <c r="AF86" t="str">
        <f t="shared" si="15"/>
        <v/>
      </c>
      <c r="AG86" t="str">
        <f t="shared" si="16"/>
        <v/>
      </c>
      <c r="AH86" t="str">
        <f t="shared" si="17"/>
        <v/>
      </c>
      <c r="AI86" t="str">
        <f t="shared" si="18"/>
        <v/>
      </c>
      <c r="AJ86" t="str">
        <f t="shared" si="19"/>
        <v/>
      </c>
    </row>
    <row r="87" spans="2:36" x14ac:dyDescent="0.35">
      <c r="B87" t="str" cm="1">
        <f t="array" ref="B87">IFERROR(AVERAGE(_xlfn._xlws.FILTER(Tabla1[[#Data],[Temperatura]],Tabla1[[ID]:[ID]]=$A87,0)),"")</f>
        <v/>
      </c>
      <c r="C87" t="str" cm="1">
        <f t="array" ref="C87">IF(IFERROR(MAX(_xlfn._xlws.FILTER(Tabla1[[#Data],[Temperatura]],Tabla1[[ID]:[ID]]=$A87,0)),"")=0,"",IFERROR(MAX(_xlfn._xlws.FILTER(Tabla1[[#Data],[Temperatura]],Tabla1[[ID]:[ID]]=$A87,0)),""))</f>
        <v/>
      </c>
      <c r="D87" t="str" cm="1">
        <f t="array" ref="D87">IF(IFERROR(MIN(_xlfn._xlws.FILTER(Tabla1[[#Data],[Temperatura]],Tabla1[[ID]:[ID]]=$A87,0)),"")=0,"",IFERROR(MIN(_xlfn._xlws.FILTER(Tabla1[[#Data],[Temperatura]],Tabla1[[ID]:[ID]]=$A87,0)),""))</f>
        <v/>
      </c>
      <c r="E87" t="str" cm="1">
        <f t="array" ref="E87">IFERROR(AVERAGE(_xlfn._xlws.FILTER(Tabla1[[#Data],[Humidade]],Tabla1[[ID]:[ID]]=$A87,0)),"")</f>
        <v/>
      </c>
      <c r="F87" t="str" cm="1">
        <f t="array" ref="F87">IF(IFERROR(MAX(_xlfn._xlws.FILTER(Tabla1[[#Data],[Humidade]],Tabla1[[ID]:[ID]]=$A87,0)),"")=0,"",IFERROR(MAX(_xlfn._xlws.FILTER(Tabla1[[#Data],[Humidade]],Tabla1[[ID]:[ID]]=$A87,0)),""))</f>
        <v/>
      </c>
      <c r="G87" t="str" cm="1">
        <f t="array" ref="G87">IF(IFERROR(MIN(_xlfn._xlws.FILTER(Tabla1[[#Data],[Humidade]],Tabla1[[ID]:[ID]]=$A87,0)),"")=0,"",IFERROR(MIN(_xlfn._xlws.FILTER(Tabla1[[#Data],[Humidade]],Tabla1[[ID]:[ID]]=$A87,0)),""))</f>
        <v/>
      </c>
      <c r="H87" t="str" cm="1">
        <f t="array" ref="H87">IFERROR(AVERAGE(_xlfn._xlws.FILTER(Tabla1[[#Data],[AcX]],Tabla1[[ID]:[ID]]=$A87,0)),"")</f>
        <v/>
      </c>
      <c r="I87" t="str" cm="1">
        <f t="array" ref="I87">IF(IFERROR(MAX(_xlfn._xlws.FILTER(Tabla1[[#Data],[AcX]],Tabla1[[ID]:[ID]]=$A87,0)),"")=0,"",IFERROR(MAX(_xlfn._xlws.FILTER(Tabla1[[#Data],[AcX]],Tabla1[[ID]:[ID]]=$A87,0)),""))</f>
        <v/>
      </c>
      <c r="J87" t="str" cm="1">
        <f t="array" ref="J87">IF(IFERROR(MIN(_xlfn._xlws.FILTER(Tabla1[[#Data],[AcX]],Tabla1[[ID]:[ID]]=$A87,0)),"")=0,"",IFERROR(MIN(_xlfn._xlws.FILTER(Tabla1[[#Data],[AcX]],Tabla1[[ID]:[ID]]=$A87,0)),""))</f>
        <v/>
      </c>
      <c r="K87" t="str" cm="1">
        <f t="array" ref="K87">IFERROR(AVERAGE(_xlfn._xlws.FILTER(Tabla1[[#Data],[AcY]],Tabla1[[ID]:[ID]]=$A87,0)),"")</f>
        <v/>
      </c>
      <c r="L87" t="str" cm="1">
        <f t="array" ref="L87">IF(IFERROR(MAX(_xlfn._xlws.FILTER(Tabla1[[#Data],[AcY]],Tabla1[[ID]:[ID]]=$A87,0)),"")=0,"",IFERROR(MAX(_xlfn._xlws.FILTER(Tabla1[[#Data],[AcY]],Tabla1[[ID]:[ID]]=$A87,0)),""))</f>
        <v/>
      </c>
      <c r="M87" t="str" cm="1">
        <f t="array" ref="M87">IF(IFERROR(MIN(_xlfn._xlws.FILTER(Tabla1[[#Data],[AcY]],Tabla1[[ID]:[ID]]=$A87,0)),"")=0,"",IFERROR(MIN(_xlfn._xlws.FILTER(Tabla1[[#Data],[AcY]],Tabla1[[ID]:[ID]]=$A87,0)),""))</f>
        <v/>
      </c>
      <c r="N87" t="str" cm="1">
        <f t="array" ref="N87">IFERROR(AVERAGE(_xlfn._xlws.FILTER(Tabla1[[#Data],[AcZ]],Tabla1[[ID]:[ID]]=$A87,0)),"")</f>
        <v/>
      </c>
      <c r="O87" t="str" cm="1">
        <f t="array" ref="O87">IF(IFERROR(MAX(_xlfn._xlws.FILTER(Tabla1[[#Data],[AcZ]],Tabla1[[ID]:[ID]]=$A87,0)),"")=0,"",IFERROR(MAX(_xlfn._xlws.FILTER(Tabla1[[#Data],[AcZ]],Tabla1[[ID]:[ID]]=$A87,0)),""))</f>
        <v/>
      </c>
      <c r="P87" t="str" cm="1">
        <f t="array" ref="P87">IF(IFERROR(MIN(_xlfn._xlws.FILTER(Tabla1[[#Data],[AcZ]],Tabla1[[ID]:[ID]]=$A87,0)),"")=0,"",IFERROR(MIN(_xlfn._xlws.FILTER(Tabla1[[#Data],[AcZ]],Tabla1[[ID]:[ID]]=$A87,0)),""))</f>
        <v/>
      </c>
      <c r="Q87" t="str" cm="1">
        <f t="array" ref="Q87">IFERROR(AVERAGE(_xlfn._xlws.FILTER(Tabla1[[#Data],[GyX]],Tabla1[[ID]:[ID]]=$A87,0)),"")</f>
        <v/>
      </c>
      <c r="R87" t="str" cm="1">
        <f t="array" ref="R87">IF(IFERROR(MAX(_xlfn._xlws.FILTER(Tabla1[[#Data],[GyX]],Tabla1[[ID]:[ID]]=$A87,0)),"")=0,"",IFERROR(MAX(_xlfn._xlws.FILTER(Tabla1[[#Data],[GyX]],Tabla1[[ID]:[ID]]=$A87,0)),""))</f>
        <v/>
      </c>
      <c r="S87" t="str" cm="1">
        <f t="array" ref="S87">IF(IFERROR(MIN(_xlfn._xlws.FILTER(Tabla1[[#Data],[GyX]],Tabla1[[ID]:[ID]]=$A87,0)),"")=0,"",IFERROR(MIN(_xlfn._xlws.FILTER(Tabla1[[#Data],[GyX]],Tabla1[[ID]:[ID]]=$A87,0)),""))</f>
        <v/>
      </c>
      <c r="T87" t="str" cm="1">
        <f t="array" ref="T87">IFERROR(AVERAGE(_xlfn._xlws.FILTER(Tabla1[[#Data],[GyY]],Tabla1[[ID]:[ID]]=$A87,0)),"")</f>
        <v/>
      </c>
      <c r="U87" t="str" cm="1">
        <f t="array" ref="U87">IF(IFERROR(MAX(_xlfn._xlws.FILTER(Tabla1[[#Data],[GyY]],Tabla1[[ID]:[ID]]=$A87,0)),"")=0,"",IFERROR(MAX(_xlfn._xlws.FILTER(Tabla1[[#Data],[GyY]],Tabla1[[ID]:[ID]]=$A87,0)),""))</f>
        <v/>
      </c>
      <c r="V87" t="str" cm="1">
        <f t="array" ref="V87">IF(IFERROR(MIN(_xlfn._xlws.FILTER(Tabla1[[#Data],[GyY]],Tabla1[[ID]:[ID]]=$A87,0)),"")=0,"",IFERROR(MIN(_xlfn._xlws.FILTER(Tabla1[[#Data],[GyY]],Tabla1[[ID]:[ID]]=$A87,0)),""))</f>
        <v/>
      </c>
      <c r="W87" t="str" cm="1">
        <f t="array" ref="W87">IFERROR(AVERAGE(_xlfn._xlws.FILTER(Tabla1[[#Data],[GyZ]],Tabla1[[ID]:[ID]]=$A87,0)),"")</f>
        <v/>
      </c>
      <c r="X87" t="str" cm="1">
        <f t="array" ref="X87">IF(IFERROR(MAX(_xlfn._xlws.FILTER(Tabla1[[#Data],[GyZ]],Tabla1[[ID]:[ID]]=$A87,0)),"")=0,"",IFERROR(MAX(_xlfn._xlws.FILTER(Tabla1[[#Data],[GyZ]],Tabla1[[ID]:[ID]]=$A87,0)),""))</f>
        <v/>
      </c>
      <c r="Y87" t="str" cm="1">
        <f t="array" ref="Y87">IF(IFERROR(MIN(_xlfn._xlws.FILTER(Tabla1[[#Data],[GyZ]],Tabla1[[ID]:[ID]]=$A87,0)),"")=0,"",IFERROR(MIN(_xlfn._xlws.FILTER(Tabla1[[#Data],[GyZ]],Tabla1[[ID]:[ID]]=$A87,0)),""))</f>
        <v/>
      </c>
      <c r="Z87" t="str" cm="1">
        <f t="array" ref="Z87">IF(ISNUMBER(A87),IF(ISNUMBER(MATCH(1,_xlfn._xlws.FILTER(Tabla1[[#Data],[Open]],Tabla1[[ID]:[ID]]=$A87,""))),1,0),"")</f>
        <v/>
      </c>
      <c r="AA87" t="str">
        <f t="shared" si="10"/>
        <v/>
      </c>
      <c r="AB87" t="str">
        <f t="shared" si="11"/>
        <v/>
      </c>
      <c r="AC87" t="str">
        <f t="shared" si="12"/>
        <v/>
      </c>
      <c r="AD87" t="str">
        <f t="shared" si="13"/>
        <v/>
      </c>
      <c r="AE87" t="str">
        <f t="shared" si="14"/>
        <v/>
      </c>
      <c r="AF87" t="str">
        <f t="shared" si="15"/>
        <v/>
      </c>
      <c r="AG87" t="str">
        <f t="shared" si="16"/>
        <v/>
      </c>
      <c r="AH87" t="str">
        <f t="shared" si="17"/>
        <v/>
      </c>
      <c r="AI87" t="str">
        <f t="shared" si="18"/>
        <v/>
      </c>
      <c r="AJ87" t="str">
        <f t="shared" si="19"/>
        <v/>
      </c>
    </row>
    <row r="88" spans="2:36" x14ac:dyDescent="0.35">
      <c r="B88" t="str" cm="1">
        <f t="array" ref="B88">IFERROR(AVERAGE(_xlfn._xlws.FILTER(Tabla1[[#Data],[Temperatura]],Tabla1[[ID]:[ID]]=$A88,0)),"")</f>
        <v/>
      </c>
      <c r="C88" t="str" cm="1">
        <f t="array" ref="C88">IF(IFERROR(MAX(_xlfn._xlws.FILTER(Tabla1[[#Data],[Temperatura]],Tabla1[[ID]:[ID]]=$A88,0)),"")=0,"",IFERROR(MAX(_xlfn._xlws.FILTER(Tabla1[[#Data],[Temperatura]],Tabla1[[ID]:[ID]]=$A88,0)),""))</f>
        <v/>
      </c>
      <c r="D88" t="str" cm="1">
        <f t="array" ref="D88">IF(IFERROR(MIN(_xlfn._xlws.FILTER(Tabla1[[#Data],[Temperatura]],Tabla1[[ID]:[ID]]=$A88,0)),"")=0,"",IFERROR(MIN(_xlfn._xlws.FILTER(Tabla1[[#Data],[Temperatura]],Tabla1[[ID]:[ID]]=$A88,0)),""))</f>
        <v/>
      </c>
      <c r="E88" t="str" cm="1">
        <f t="array" ref="E88">IFERROR(AVERAGE(_xlfn._xlws.FILTER(Tabla1[[#Data],[Humidade]],Tabla1[[ID]:[ID]]=$A88,0)),"")</f>
        <v/>
      </c>
      <c r="F88" t="str" cm="1">
        <f t="array" ref="F88">IF(IFERROR(MAX(_xlfn._xlws.FILTER(Tabla1[[#Data],[Humidade]],Tabla1[[ID]:[ID]]=$A88,0)),"")=0,"",IFERROR(MAX(_xlfn._xlws.FILTER(Tabla1[[#Data],[Humidade]],Tabla1[[ID]:[ID]]=$A88,0)),""))</f>
        <v/>
      </c>
      <c r="G88" t="str" cm="1">
        <f t="array" ref="G88">IF(IFERROR(MIN(_xlfn._xlws.FILTER(Tabla1[[#Data],[Humidade]],Tabla1[[ID]:[ID]]=$A88,0)),"")=0,"",IFERROR(MIN(_xlfn._xlws.FILTER(Tabla1[[#Data],[Humidade]],Tabla1[[ID]:[ID]]=$A88,0)),""))</f>
        <v/>
      </c>
      <c r="H88" t="str" cm="1">
        <f t="array" ref="H88">IFERROR(AVERAGE(_xlfn._xlws.FILTER(Tabla1[[#Data],[AcX]],Tabla1[[ID]:[ID]]=$A88,0)),"")</f>
        <v/>
      </c>
      <c r="I88" t="str" cm="1">
        <f t="array" ref="I88">IF(IFERROR(MAX(_xlfn._xlws.FILTER(Tabla1[[#Data],[AcX]],Tabla1[[ID]:[ID]]=$A88,0)),"")=0,"",IFERROR(MAX(_xlfn._xlws.FILTER(Tabla1[[#Data],[AcX]],Tabla1[[ID]:[ID]]=$A88,0)),""))</f>
        <v/>
      </c>
      <c r="J88" t="str" cm="1">
        <f t="array" ref="J88">IF(IFERROR(MIN(_xlfn._xlws.FILTER(Tabla1[[#Data],[AcX]],Tabla1[[ID]:[ID]]=$A88,0)),"")=0,"",IFERROR(MIN(_xlfn._xlws.FILTER(Tabla1[[#Data],[AcX]],Tabla1[[ID]:[ID]]=$A88,0)),""))</f>
        <v/>
      </c>
      <c r="K88" t="str" cm="1">
        <f t="array" ref="K88">IFERROR(AVERAGE(_xlfn._xlws.FILTER(Tabla1[[#Data],[AcY]],Tabla1[[ID]:[ID]]=$A88,0)),"")</f>
        <v/>
      </c>
      <c r="L88" t="str" cm="1">
        <f t="array" ref="L88">IF(IFERROR(MAX(_xlfn._xlws.FILTER(Tabla1[[#Data],[AcY]],Tabla1[[ID]:[ID]]=$A88,0)),"")=0,"",IFERROR(MAX(_xlfn._xlws.FILTER(Tabla1[[#Data],[AcY]],Tabla1[[ID]:[ID]]=$A88,0)),""))</f>
        <v/>
      </c>
      <c r="M88" t="str" cm="1">
        <f t="array" ref="M88">IF(IFERROR(MIN(_xlfn._xlws.FILTER(Tabla1[[#Data],[AcY]],Tabla1[[ID]:[ID]]=$A88,0)),"")=0,"",IFERROR(MIN(_xlfn._xlws.FILTER(Tabla1[[#Data],[AcY]],Tabla1[[ID]:[ID]]=$A88,0)),""))</f>
        <v/>
      </c>
      <c r="N88" t="str" cm="1">
        <f t="array" ref="N88">IFERROR(AVERAGE(_xlfn._xlws.FILTER(Tabla1[[#Data],[AcZ]],Tabla1[[ID]:[ID]]=$A88,0)),"")</f>
        <v/>
      </c>
      <c r="O88" t="str" cm="1">
        <f t="array" ref="O88">IF(IFERROR(MAX(_xlfn._xlws.FILTER(Tabla1[[#Data],[AcZ]],Tabla1[[ID]:[ID]]=$A88,0)),"")=0,"",IFERROR(MAX(_xlfn._xlws.FILTER(Tabla1[[#Data],[AcZ]],Tabla1[[ID]:[ID]]=$A88,0)),""))</f>
        <v/>
      </c>
      <c r="P88" t="str" cm="1">
        <f t="array" ref="P88">IF(IFERROR(MIN(_xlfn._xlws.FILTER(Tabla1[[#Data],[AcZ]],Tabla1[[ID]:[ID]]=$A88,0)),"")=0,"",IFERROR(MIN(_xlfn._xlws.FILTER(Tabla1[[#Data],[AcZ]],Tabla1[[ID]:[ID]]=$A88,0)),""))</f>
        <v/>
      </c>
      <c r="Q88" t="str" cm="1">
        <f t="array" ref="Q88">IFERROR(AVERAGE(_xlfn._xlws.FILTER(Tabla1[[#Data],[GyX]],Tabla1[[ID]:[ID]]=$A88,0)),"")</f>
        <v/>
      </c>
      <c r="R88" t="str" cm="1">
        <f t="array" ref="R88">IF(IFERROR(MAX(_xlfn._xlws.FILTER(Tabla1[[#Data],[GyX]],Tabla1[[ID]:[ID]]=$A88,0)),"")=0,"",IFERROR(MAX(_xlfn._xlws.FILTER(Tabla1[[#Data],[GyX]],Tabla1[[ID]:[ID]]=$A88,0)),""))</f>
        <v/>
      </c>
      <c r="S88" t="str" cm="1">
        <f t="array" ref="S88">IF(IFERROR(MIN(_xlfn._xlws.FILTER(Tabla1[[#Data],[GyX]],Tabla1[[ID]:[ID]]=$A88,0)),"")=0,"",IFERROR(MIN(_xlfn._xlws.FILTER(Tabla1[[#Data],[GyX]],Tabla1[[ID]:[ID]]=$A88,0)),""))</f>
        <v/>
      </c>
      <c r="T88" t="str" cm="1">
        <f t="array" ref="T88">IFERROR(AVERAGE(_xlfn._xlws.FILTER(Tabla1[[#Data],[GyY]],Tabla1[[ID]:[ID]]=$A88,0)),"")</f>
        <v/>
      </c>
      <c r="U88" t="str" cm="1">
        <f t="array" ref="U88">IF(IFERROR(MAX(_xlfn._xlws.FILTER(Tabla1[[#Data],[GyY]],Tabla1[[ID]:[ID]]=$A88,0)),"")=0,"",IFERROR(MAX(_xlfn._xlws.FILTER(Tabla1[[#Data],[GyY]],Tabla1[[ID]:[ID]]=$A88,0)),""))</f>
        <v/>
      </c>
      <c r="V88" t="str" cm="1">
        <f t="array" ref="V88">IF(IFERROR(MIN(_xlfn._xlws.FILTER(Tabla1[[#Data],[GyY]],Tabla1[[ID]:[ID]]=$A88,0)),"")=0,"",IFERROR(MIN(_xlfn._xlws.FILTER(Tabla1[[#Data],[GyY]],Tabla1[[ID]:[ID]]=$A88,0)),""))</f>
        <v/>
      </c>
      <c r="W88" t="str" cm="1">
        <f t="array" ref="W88">IFERROR(AVERAGE(_xlfn._xlws.FILTER(Tabla1[[#Data],[GyZ]],Tabla1[[ID]:[ID]]=$A88,0)),"")</f>
        <v/>
      </c>
      <c r="X88" t="str" cm="1">
        <f t="array" ref="X88">IF(IFERROR(MAX(_xlfn._xlws.FILTER(Tabla1[[#Data],[GyZ]],Tabla1[[ID]:[ID]]=$A88,0)),"")=0,"",IFERROR(MAX(_xlfn._xlws.FILTER(Tabla1[[#Data],[GyZ]],Tabla1[[ID]:[ID]]=$A88,0)),""))</f>
        <v/>
      </c>
      <c r="Y88" t="str" cm="1">
        <f t="array" ref="Y88">IF(IFERROR(MIN(_xlfn._xlws.FILTER(Tabla1[[#Data],[GyZ]],Tabla1[[ID]:[ID]]=$A88,0)),"")=0,"",IFERROR(MIN(_xlfn._xlws.FILTER(Tabla1[[#Data],[GyZ]],Tabla1[[ID]:[ID]]=$A88,0)),""))</f>
        <v/>
      </c>
      <c r="Z88" t="str" cm="1">
        <f t="array" ref="Z88">IF(ISNUMBER(A88),IF(ISNUMBER(MATCH(1,_xlfn._xlws.FILTER(Tabla1[[#Data],[Open]],Tabla1[[ID]:[ID]]=$A88,""))),1,0),"")</f>
        <v/>
      </c>
      <c r="AA88" t="str">
        <f t="shared" si="10"/>
        <v/>
      </c>
      <c r="AB88" t="str">
        <f t="shared" si="11"/>
        <v/>
      </c>
      <c r="AC88" t="str">
        <f t="shared" si="12"/>
        <v/>
      </c>
      <c r="AD88" t="str">
        <f t="shared" si="13"/>
        <v/>
      </c>
      <c r="AE88" t="str">
        <f t="shared" si="14"/>
        <v/>
      </c>
      <c r="AF88" t="str">
        <f t="shared" si="15"/>
        <v/>
      </c>
      <c r="AG88" t="str">
        <f t="shared" si="16"/>
        <v/>
      </c>
      <c r="AH88" t="str">
        <f t="shared" si="17"/>
        <v/>
      </c>
      <c r="AI88" t="str">
        <f t="shared" si="18"/>
        <v/>
      </c>
      <c r="AJ88" t="str">
        <f t="shared" si="19"/>
        <v/>
      </c>
    </row>
    <row r="89" spans="2:36" x14ac:dyDescent="0.35">
      <c r="B89" t="str" cm="1">
        <f t="array" ref="B89">IFERROR(AVERAGE(_xlfn._xlws.FILTER(Tabla1[[#Data],[Temperatura]],Tabla1[[ID]:[ID]]=$A89,0)),"")</f>
        <v/>
      </c>
      <c r="C89" t="str" cm="1">
        <f t="array" ref="C89">IF(IFERROR(MAX(_xlfn._xlws.FILTER(Tabla1[[#Data],[Temperatura]],Tabla1[[ID]:[ID]]=$A89,0)),"")=0,"",IFERROR(MAX(_xlfn._xlws.FILTER(Tabla1[[#Data],[Temperatura]],Tabla1[[ID]:[ID]]=$A89,0)),""))</f>
        <v/>
      </c>
      <c r="D89" t="str" cm="1">
        <f t="array" ref="D89">IF(IFERROR(MIN(_xlfn._xlws.FILTER(Tabla1[[#Data],[Temperatura]],Tabla1[[ID]:[ID]]=$A89,0)),"")=0,"",IFERROR(MIN(_xlfn._xlws.FILTER(Tabla1[[#Data],[Temperatura]],Tabla1[[ID]:[ID]]=$A89,0)),""))</f>
        <v/>
      </c>
      <c r="E89" t="str" cm="1">
        <f t="array" ref="E89">IFERROR(AVERAGE(_xlfn._xlws.FILTER(Tabla1[[#Data],[Humidade]],Tabla1[[ID]:[ID]]=$A89,0)),"")</f>
        <v/>
      </c>
      <c r="F89" t="str" cm="1">
        <f t="array" ref="F89">IF(IFERROR(MAX(_xlfn._xlws.FILTER(Tabla1[[#Data],[Humidade]],Tabla1[[ID]:[ID]]=$A89,0)),"")=0,"",IFERROR(MAX(_xlfn._xlws.FILTER(Tabla1[[#Data],[Humidade]],Tabla1[[ID]:[ID]]=$A89,0)),""))</f>
        <v/>
      </c>
      <c r="G89" t="str" cm="1">
        <f t="array" ref="G89">IF(IFERROR(MIN(_xlfn._xlws.FILTER(Tabla1[[#Data],[Humidade]],Tabla1[[ID]:[ID]]=$A89,0)),"")=0,"",IFERROR(MIN(_xlfn._xlws.FILTER(Tabla1[[#Data],[Humidade]],Tabla1[[ID]:[ID]]=$A89,0)),""))</f>
        <v/>
      </c>
      <c r="H89" t="str" cm="1">
        <f t="array" ref="H89">IFERROR(AVERAGE(_xlfn._xlws.FILTER(Tabla1[[#Data],[AcX]],Tabla1[[ID]:[ID]]=$A89,0)),"")</f>
        <v/>
      </c>
      <c r="I89" t="str" cm="1">
        <f t="array" ref="I89">IF(IFERROR(MAX(_xlfn._xlws.FILTER(Tabla1[[#Data],[AcX]],Tabla1[[ID]:[ID]]=$A89,0)),"")=0,"",IFERROR(MAX(_xlfn._xlws.FILTER(Tabla1[[#Data],[AcX]],Tabla1[[ID]:[ID]]=$A89,0)),""))</f>
        <v/>
      </c>
      <c r="J89" t="str" cm="1">
        <f t="array" ref="J89">IF(IFERROR(MIN(_xlfn._xlws.FILTER(Tabla1[[#Data],[AcX]],Tabla1[[ID]:[ID]]=$A89,0)),"")=0,"",IFERROR(MIN(_xlfn._xlws.FILTER(Tabla1[[#Data],[AcX]],Tabla1[[ID]:[ID]]=$A89,0)),""))</f>
        <v/>
      </c>
      <c r="K89" t="str" cm="1">
        <f t="array" ref="K89">IFERROR(AVERAGE(_xlfn._xlws.FILTER(Tabla1[[#Data],[AcY]],Tabla1[[ID]:[ID]]=$A89,0)),"")</f>
        <v/>
      </c>
      <c r="L89" t="str" cm="1">
        <f t="array" ref="L89">IF(IFERROR(MAX(_xlfn._xlws.FILTER(Tabla1[[#Data],[AcY]],Tabla1[[ID]:[ID]]=$A89,0)),"")=0,"",IFERROR(MAX(_xlfn._xlws.FILTER(Tabla1[[#Data],[AcY]],Tabla1[[ID]:[ID]]=$A89,0)),""))</f>
        <v/>
      </c>
      <c r="M89" t="str" cm="1">
        <f t="array" ref="M89">IF(IFERROR(MIN(_xlfn._xlws.FILTER(Tabla1[[#Data],[AcY]],Tabla1[[ID]:[ID]]=$A89,0)),"")=0,"",IFERROR(MIN(_xlfn._xlws.FILTER(Tabla1[[#Data],[AcY]],Tabla1[[ID]:[ID]]=$A89,0)),""))</f>
        <v/>
      </c>
      <c r="N89" t="str" cm="1">
        <f t="array" ref="N89">IFERROR(AVERAGE(_xlfn._xlws.FILTER(Tabla1[[#Data],[AcZ]],Tabla1[[ID]:[ID]]=$A89,0)),"")</f>
        <v/>
      </c>
      <c r="O89" t="str" cm="1">
        <f t="array" ref="O89">IF(IFERROR(MAX(_xlfn._xlws.FILTER(Tabla1[[#Data],[AcZ]],Tabla1[[ID]:[ID]]=$A89,0)),"")=0,"",IFERROR(MAX(_xlfn._xlws.FILTER(Tabla1[[#Data],[AcZ]],Tabla1[[ID]:[ID]]=$A89,0)),""))</f>
        <v/>
      </c>
      <c r="P89" t="str" cm="1">
        <f t="array" ref="P89">IF(IFERROR(MIN(_xlfn._xlws.FILTER(Tabla1[[#Data],[AcZ]],Tabla1[[ID]:[ID]]=$A89,0)),"")=0,"",IFERROR(MIN(_xlfn._xlws.FILTER(Tabla1[[#Data],[AcZ]],Tabla1[[ID]:[ID]]=$A89,0)),""))</f>
        <v/>
      </c>
      <c r="Q89" t="str" cm="1">
        <f t="array" ref="Q89">IFERROR(AVERAGE(_xlfn._xlws.FILTER(Tabla1[[#Data],[GyX]],Tabla1[[ID]:[ID]]=$A89,0)),"")</f>
        <v/>
      </c>
      <c r="R89" t="str" cm="1">
        <f t="array" ref="R89">IF(IFERROR(MAX(_xlfn._xlws.FILTER(Tabla1[[#Data],[GyX]],Tabla1[[ID]:[ID]]=$A89,0)),"")=0,"",IFERROR(MAX(_xlfn._xlws.FILTER(Tabla1[[#Data],[GyX]],Tabla1[[ID]:[ID]]=$A89,0)),""))</f>
        <v/>
      </c>
      <c r="S89" t="str" cm="1">
        <f t="array" ref="S89">IF(IFERROR(MIN(_xlfn._xlws.FILTER(Tabla1[[#Data],[GyX]],Tabla1[[ID]:[ID]]=$A89,0)),"")=0,"",IFERROR(MIN(_xlfn._xlws.FILTER(Tabla1[[#Data],[GyX]],Tabla1[[ID]:[ID]]=$A89,0)),""))</f>
        <v/>
      </c>
      <c r="T89" t="str" cm="1">
        <f t="array" ref="T89">IFERROR(AVERAGE(_xlfn._xlws.FILTER(Tabla1[[#Data],[GyY]],Tabla1[[ID]:[ID]]=$A89,0)),"")</f>
        <v/>
      </c>
      <c r="U89" t="str" cm="1">
        <f t="array" ref="U89">IF(IFERROR(MAX(_xlfn._xlws.FILTER(Tabla1[[#Data],[GyY]],Tabla1[[ID]:[ID]]=$A89,0)),"")=0,"",IFERROR(MAX(_xlfn._xlws.FILTER(Tabla1[[#Data],[GyY]],Tabla1[[ID]:[ID]]=$A89,0)),""))</f>
        <v/>
      </c>
      <c r="V89" t="str" cm="1">
        <f t="array" ref="V89">IF(IFERROR(MIN(_xlfn._xlws.FILTER(Tabla1[[#Data],[GyY]],Tabla1[[ID]:[ID]]=$A89,0)),"")=0,"",IFERROR(MIN(_xlfn._xlws.FILTER(Tabla1[[#Data],[GyY]],Tabla1[[ID]:[ID]]=$A89,0)),""))</f>
        <v/>
      </c>
      <c r="W89" t="str" cm="1">
        <f t="array" ref="W89">IFERROR(AVERAGE(_xlfn._xlws.FILTER(Tabla1[[#Data],[GyZ]],Tabla1[[ID]:[ID]]=$A89,0)),"")</f>
        <v/>
      </c>
      <c r="X89" t="str" cm="1">
        <f t="array" ref="X89">IF(IFERROR(MAX(_xlfn._xlws.FILTER(Tabla1[[#Data],[GyZ]],Tabla1[[ID]:[ID]]=$A89,0)),"")=0,"",IFERROR(MAX(_xlfn._xlws.FILTER(Tabla1[[#Data],[GyZ]],Tabla1[[ID]:[ID]]=$A89,0)),""))</f>
        <v/>
      </c>
      <c r="Y89" t="str" cm="1">
        <f t="array" ref="Y89">IF(IFERROR(MIN(_xlfn._xlws.FILTER(Tabla1[[#Data],[GyZ]],Tabla1[[ID]:[ID]]=$A89,0)),"")=0,"",IFERROR(MIN(_xlfn._xlws.FILTER(Tabla1[[#Data],[GyZ]],Tabla1[[ID]:[ID]]=$A89,0)),""))</f>
        <v/>
      </c>
      <c r="Z89" t="str" cm="1">
        <f t="array" ref="Z89">IF(ISNUMBER(A89),IF(ISNUMBER(MATCH(1,_xlfn._xlws.FILTER(Tabla1[[#Data],[Open]],Tabla1[[ID]:[ID]]=$A89,""))),1,0),"")</f>
        <v/>
      </c>
      <c r="AA89" t="str">
        <f t="shared" si="10"/>
        <v/>
      </c>
      <c r="AB89" t="str">
        <f t="shared" si="11"/>
        <v/>
      </c>
      <c r="AC89" t="str">
        <f t="shared" si="12"/>
        <v/>
      </c>
      <c r="AD89" t="str">
        <f t="shared" si="13"/>
        <v/>
      </c>
      <c r="AE89" t="str">
        <f t="shared" si="14"/>
        <v/>
      </c>
      <c r="AF89" t="str">
        <f t="shared" si="15"/>
        <v/>
      </c>
      <c r="AG89" t="str">
        <f t="shared" si="16"/>
        <v/>
      </c>
      <c r="AH89" t="str">
        <f t="shared" si="17"/>
        <v/>
      </c>
      <c r="AI89" t="str">
        <f t="shared" si="18"/>
        <v/>
      </c>
      <c r="AJ89" t="str">
        <f t="shared" si="19"/>
        <v/>
      </c>
    </row>
    <row r="90" spans="2:36" x14ac:dyDescent="0.35">
      <c r="B90" t="str" cm="1">
        <f t="array" ref="B90">IFERROR(AVERAGE(_xlfn._xlws.FILTER(Tabla1[[#Data],[Temperatura]],Tabla1[[ID]:[ID]]=$A90,0)),"")</f>
        <v/>
      </c>
      <c r="C90" t="str" cm="1">
        <f t="array" ref="C90">IF(IFERROR(MAX(_xlfn._xlws.FILTER(Tabla1[[#Data],[Temperatura]],Tabla1[[ID]:[ID]]=$A90,0)),"")=0,"",IFERROR(MAX(_xlfn._xlws.FILTER(Tabla1[[#Data],[Temperatura]],Tabla1[[ID]:[ID]]=$A90,0)),""))</f>
        <v/>
      </c>
      <c r="D90" t="str" cm="1">
        <f t="array" ref="D90">IF(IFERROR(MIN(_xlfn._xlws.FILTER(Tabla1[[#Data],[Temperatura]],Tabla1[[ID]:[ID]]=$A90,0)),"")=0,"",IFERROR(MIN(_xlfn._xlws.FILTER(Tabla1[[#Data],[Temperatura]],Tabla1[[ID]:[ID]]=$A90,0)),""))</f>
        <v/>
      </c>
      <c r="E90" t="str" cm="1">
        <f t="array" ref="E90">IFERROR(AVERAGE(_xlfn._xlws.FILTER(Tabla1[[#Data],[Humidade]],Tabla1[[ID]:[ID]]=$A90,0)),"")</f>
        <v/>
      </c>
      <c r="F90" t="str" cm="1">
        <f t="array" ref="F90">IF(IFERROR(MAX(_xlfn._xlws.FILTER(Tabla1[[#Data],[Humidade]],Tabla1[[ID]:[ID]]=$A90,0)),"")=0,"",IFERROR(MAX(_xlfn._xlws.FILTER(Tabla1[[#Data],[Humidade]],Tabla1[[ID]:[ID]]=$A90,0)),""))</f>
        <v/>
      </c>
      <c r="G90" t="str" cm="1">
        <f t="array" ref="G90">IF(IFERROR(MIN(_xlfn._xlws.FILTER(Tabla1[[#Data],[Humidade]],Tabla1[[ID]:[ID]]=$A90,0)),"")=0,"",IFERROR(MIN(_xlfn._xlws.FILTER(Tabla1[[#Data],[Humidade]],Tabla1[[ID]:[ID]]=$A90,0)),""))</f>
        <v/>
      </c>
      <c r="H90" t="str" cm="1">
        <f t="array" ref="H90">IFERROR(AVERAGE(_xlfn._xlws.FILTER(Tabla1[[#Data],[AcX]],Tabla1[[ID]:[ID]]=$A90,0)),"")</f>
        <v/>
      </c>
      <c r="I90" t="str" cm="1">
        <f t="array" ref="I90">IF(IFERROR(MAX(_xlfn._xlws.FILTER(Tabla1[[#Data],[AcX]],Tabla1[[ID]:[ID]]=$A90,0)),"")=0,"",IFERROR(MAX(_xlfn._xlws.FILTER(Tabla1[[#Data],[AcX]],Tabla1[[ID]:[ID]]=$A90,0)),""))</f>
        <v/>
      </c>
      <c r="J90" t="str" cm="1">
        <f t="array" ref="J90">IF(IFERROR(MIN(_xlfn._xlws.FILTER(Tabla1[[#Data],[AcX]],Tabla1[[ID]:[ID]]=$A90,0)),"")=0,"",IFERROR(MIN(_xlfn._xlws.FILTER(Tabla1[[#Data],[AcX]],Tabla1[[ID]:[ID]]=$A90,0)),""))</f>
        <v/>
      </c>
      <c r="K90" t="str" cm="1">
        <f t="array" ref="K90">IFERROR(AVERAGE(_xlfn._xlws.FILTER(Tabla1[[#Data],[AcY]],Tabla1[[ID]:[ID]]=$A90,0)),"")</f>
        <v/>
      </c>
      <c r="L90" t="str" cm="1">
        <f t="array" ref="L90">IF(IFERROR(MAX(_xlfn._xlws.FILTER(Tabla1[[#Data],[AcY]],Tabla1[[ID]:[ID]]=$A90,0)),"")=0,"",IFERROR(MAX(_xlfn._xlws.FILTER(Tabla1[[#Data],[AcY]],Tabla1[[ID]:[ID]]=$A90,0)),""))</f>
        <v/>
      </c>
      <c r="M90" t="str" cm="1">
        <f t="array" ref="M90">IF(IFERROR(MIN(_xlfn._xlws.FILTER(Tabla1[[#Data],[AcY]],Tabla1[[ID]:[ID]]=$A90,0)),"")=0,"",IFERROR(MIN(_xlfn._xlws.FILTER(Tabla1[[#Data],[AcY]],Tabla1[[ID]:[ID]]=$A90,0)),""))</f>
        <v/>
      </c>
      <c r="N90" t="str" cm="1">
        <f t="array" ref="N90">IFERROR(AVERAGE(_xlfn._xlws.FILTER(Tabla1[[#Data],[AcZ]],Tabla1[[ID]:[ID]]=$A90,0)),"")</f>
        <v/>
      </c>
      <c r="O90" t="str" cm="1">
        <f t="array" ref="O90">IF(IFERROR(MAX(_xlfn._xlws.FILTER(Tabla1[[#Data],[AcZ]],Tabla1[[ID]:[ID]]=$A90,0)),"")=0,"",IFERROR(MAX(_xlfn._xlws.FILTER(Tabla1[[#Data],[AcZ]],Tabla1[[ID]:[ID]]=$A90,0)),""))</f>
        <v/>
      </c>
      <c r="P90" t="str" cm="1">
        <f t="array" ref="P90">IF(IFERROR(MIN(_xlfn._xlws.FILTER(Tabla1[[#Data],[AcZ]],Tabla1[[ID]:[ID]]=$A90,0)),"")=0,"",IFERROR(MIN(_xlfn._xlws.FILTER(Tabla1[[#Data],[AcZ]],Tabla1[[ID]:[ID]]=$A90,0)),""))</f>
        <v/>
      </c>
      <c r="Q90" t="str" cm="1">
        <f t="array" ref="Q90">IFERROR(AVERAGE(_xlfn._xlws.FILTER(Tabla1[[#Data],[GyX]],Tabla1[[ID]:[ID]]=$A90,0)),"")</f>
        <v/>
      </c>
      <c r="R90" t="str" cm="1">
        <f t="array" ref="R90">IF(IFERROR(MAX(_xlfn._xlws.FILTER(Tabla1[[#Data],[GyX]],Tabla1[[ID]:[ID]]=$A90,0)),"")=0,"",IFERROR(MAX(_xlfn._xlws.FILTER(Tabla1[[#Data],[GyX]],Tabla1[[ID]:[ID]]=$A90,0)),""))</f>
        <v/>
      </c>
      <c r="S90" t="str" cm="1">
        <f t="array" ref="S90">IF(IFERROR(MIN(_xlfn._xlws.FILTER(Tabla1[[#Data],[GyX]],Tabla1[[ID]:[ID]]=$A90,0)),"")=0,"",IFERROR(MIN(_xlfn._xlws.FILTER(Tabla1[[#Data],[GyX]],Tabla1[[ID]:[ID]]=$A90,0)),""))</f>
        <v/>
      </c>
      <c r="T90" t="str" cm="1">
        <f t="array" ref="T90">IFERROR(AVERAGE(_xlfn._xlws.FILTER(Tabla1[[#Data],[GyY]],Tabla1[[ID]:[ID]]=$A90,0)),"")</f>
        <v/>
      </c>
      <c r="U90" t="str" cm="1">
        <f t="array" ref="U90">IF(IFERROR(MAX(_xlfn._xlws.FILTER(Tabla1[[#Data],[GyY]],Tabla1[[ID]:[ID]]=$A90,0)),"")=0,"",IFERROR(MAX(_xlfn._xlws.FILTER(Tabla1[[#Data],[GyY]],Tabla1[[ID]:[ID]]=$A90,0)),""))</f>
        <v/>
      </c>
      <c r="V90" t="str" cm="1">
        <f t="array" ref="V90">IF(IFERROR(MIN(_xlfn._xlws.FILTER(Tabla1[[#Data],[GyY]],Tabla1[[ID]:[ID]]=$A90,0)),"")=0,"",IFERROR(MIN(_xlfn._xlws.FILTER(Tabla1[[#Data],[GyY]],Tabla1[[ID]:[ID]]=$A90,0)),""))</f>
        <v/>
      </c>
      <c r="W90" t="str" cm="1">
        <f t="array" ref="W90">IFERROR(AVERAGE(_xlfn._xlws.FILTER(Tabla1[[#Data],[GyZ]],Tabla1[[ID]:[ID]]=$A90,0)),"")</f>
        <v/>
      </c>
      <c r="X90" t="str" cm="1">
        <f t="array" ref="X90">IF(IFERROR(MAX(_xlfn._xlws.FILTER(Tabla1[[#Data],[GyZ]],Tabla1[[ID]:[ID]]=$A90,0)),"")=0,"",IFERROR(MAX(_xlfn._xlws.FILTER(Tabla1[[#Data],[GyZ]],Tabla1[[ID]:[ID]]=$A90,0)),""))</f>
        <v/>
      </c>
      <c r="Y90" t="str" cm="1">
        <f t="array" ref="Y90">IF(IFERROR(MIN(_xlfn._xlws.FILTER(Tabla1[[#Data],[GyZ]],Tabla1[[ID]:[ID]]=$A90,0)),"")=0,"",IFERROR(MIN(_xlfn._xlws.FILTER(Tabla1[[#Data],[GyZ]],Tabla1[[ID]:[ID]]=$A90,0)),""))</f>
        <v/>
      </c>
      <c r="Z90" t="str" cm="1">
        <f t="array" ref="Z90">IF(ISNUMBER(A90),IF(ISNUMBER(MATCH(1,_xlfn._xlws.FILTER(Tabla1[[#Data],[Open]],Tabla1[[ID]:[ID]]=$A90,""))),1,0),"")</f>
        <v/>
      </c>
      <c r="AA90" t="str">
        <f t="shared" si="10"/>
        <v/>
      </c>
      <c r="AB90" t="str">
        <f t="shared" si="11"/>
        <v/>
      </c>
      <c r="AC90" t="str">
        <f t="shared" si="12"/>
        <v/>
      </c>
      <c r="AD90" t="str">
        <f t="shared" si="13"/>
        <v/>
      </c>
      <c r="AE90" t="str">
        <f t="shared" si="14"/>
        <v/>
      </c>
      <c r="AF90" t="str">
        <f t="shared" si="15"/>
        <v/>
      </c>
      <c r="AG90" t="str">
        <f t="shared" si="16"/>
        <v/>
      </c>
      <c r="AH90" t="str">
        <f t="shared" si="17"/>
        <v/>
      </c>
      <c r="AI90" t="str">
        <f t="shared" si="18"/>
        <v/>
      </c>
      <c r="AJ90" t="str">
        <f t="shared" si="19"/>
        <v/>
      </c>
    </row>
    <row r="91" spans="2:36" x14ac:dyDescent="0.35">
      <c r="B91" t="str" cm="1">
        <f t="array" ref="B91">IFERROR(AVERAGE(_xlfn._xlws.FILTER(Tabla1[[#Data],[Temperatura]],Tabla1[[ID]:[ID]]=$A91,0)),"")</f>
        <v/>
      </c>
      <c r="C91" t="str" cm="1">
        <f t="array" ref="C91">IF(IFERROR(MAX(_xlfn._xlws.FILTER(Tabla1[[#Data],[Temperatura]],Tabla1[[ID]:[ID]]=$A91,0)),"")=0,"",IFERROR(MAX(_xlfn._xlws.FILTER(Tabla1[[#Data],[Temperatura]],Tabla1[[ID]:[ID]]=$A91,0)),""))</f>
        <v/>
      </c>
      <c r="D91" t="str" cm="1">
        <f t="array" ref="D91">IF(IFERROR(MIN(_xlfn._xlws.FILTER(Tabla1[[#Data],[Temperatura]],Tabla1[[ID]:[ID]]=$A91,0)),"")=0,"",IFERROR(MIN(_xlfn._xlws.FILTER(Tabla1[[#Data],[Temperatura]],Tabla1[[ID]:[ID]]=$A91,0)),""))</f>
        <v/>
      </c>
      <c r="E91" t="str" cm="1">
        <f t="array" ref="E91">IFERROR(AVERAGE(_xlfn._xlws.FILTER(Tabla1[[#Data],[Humidade]],Tabla1[[ID]:[ID]]=$A91,0)),"")</f>
        <v/>
      </c>
      <c r="F91" t="str" cm="1">
        <f t="array" ref="F91">IF(IFERROR(MAX(_xlfn._xlws.FILTER(Tabla1[[#Data],[Humidade]],Tabla1[[ID]:[ID]]=$A91,0)),"")=0,"",IFERROR(MAX(_xlfn._xlws.FILTER(Tabla1[[#Data],[Humidade]],Tabla1[[ID]:[ID]]=$A91,0)),""))</f>
        <v/>
      </c>
      <c r="G91" t="str" cm="1">
        <f t="array" ref="G91">IF(IFERROR(MIN(_xlfn._xlws.FILTER(Tabla1[[#Data],[Humidade]],Tabla1[[ID]:[ID]]=$A91,0)),"")=0,"",IFERROR(MIN(_xlfn._xlws.FILTER(Tabla1[[#Data],[Humidade]],Tabla1[[ID]:[ID]]=$A91,0)),""))</f>
        <v/>
      </c>
      <c r="H91" t="str" cm="1">
        <f t="array" ref="H91">IFERROR(AVERAGE(_xlfn._xlws.FILTER(Tabla1[[#Data],[AcX]],Tabla1[[ID]:[ID]]=$A91,0)),"")</f>
        <v/>
      </c>
      <c r="I91" t="str" cm="1">
        <f t="array" ref="I91">IF(IFERROR(MAX(_xlfn._xlws.FILTER(Tabla1[[#Data],[AcX]],Tabla1[[ID]:[ID]]=$A91,0)),"")=0,"",IFERROR(MAX(_xlfn._xlws.FILTER(Tabla1[[#Data],[AcX]],Tabla1[[ID]:[ID]]=$A91,0)),""))</f>
        <v/>
      </c>
      <c r="J91" t="str" cm="1">
        <f t="array" ref="J91">IF(IFERROR(MIN(_xlfn._xlws.FILTER(Tabla1[[#Data],[AcX]],Tabla1[[ID]:[ID]]=$A91,0)),"")=0,"",IFERROR(MIN(_xlfn._xlws.FILTER(Tabla1[[#Data],[AcX]],Tabla1[[ID]:[ID]]=$A91,0)),""))</f>
        <v/>
      </c>
      <c r="K91" t="str" cm="1">
        <f t="array" ref="K91">IFERROR(AVERAGE(_xlfn._xlws.FILTER(Tabla1[[#Data],[AcY]],Tabla1[[ID]:[ID]]=$A91,0)),"")</f>
        <v/>
      </c>
      <c r="L91" t="str" cm="1">
        <f t="array" ref="L91">IF(IFERROR(MAX(_xlfn._xlws.FILTER(Tabla1[[#Data],[AcY]],Tabla1[[ID]:[ID]]=$A91,0)),"")=0,"",IFERROR(MAX(_xlfn._xlws.FILTER(Tabla1[[#Data],[AcY]],Tabla1[[ID]:[ID]]=$A91,0)),""))</f>
        <v/>
      </c>
      <c r="M91" t="str" cm="1">
        <f t="array" ref="M91">IF(IFERROR(MIN(_xlfn._xlws.FILTER(Tabla1[[#Data],[AcY]],Tabla1[[ID]:[ID]]=$A91,0)),"")=0,"",IFERROR(MIN(_xlfn._xlws.FILTER(Tabla1[[#Data],[AcY]],Tabla1[[ID]:[ID]]=$A91,0)),""))</f>
        <v/>
      </c>
      <c r="N91" t="str" cm="1">
        <f t="array" ref="N91">IFERROR(AVERAGE(_xlfn._xlws.FILTER(Tabla1[[#Data],[AcZ]],Tabla1[[ID]:[ID]]=$A91,0)),"")</f>
        <v/>
      </c>
      <c r="O91" t="str" cm="1">
        <f t="array" ref="O91">IF(IFERROR(MAX(_xlfn._xlws.FILTER(Tabla1[[#Data],[AcZ]],Tabla1[[ID]:[ID]]=$A91,0)),"")=0,"",IFERROR(MAX(_xlfn._xlws.FILTER(Tabla1[[#Data],[AcZ]],Tabla1[[ID]:[ID]]=$A91,0)),""))</f>
        <v/>
      </c>
      <c r="P91" t="str" cm="1">
        <f t="array" ref="P91">IF(IFERROR(MIN(_xlfn._xlws.FILTER(Tabla1[[#Data],[AcZ]],Tabla1[[ID]:[ID]]=$A91,0)),"")=0,"",IFERROR(MIN(_xlfn._xlws.FILTER(Tabla1[[#Data],[AcZ]],Tabla1[[ID]:[ID]]=$A91,0)),""))</f>
        <v/>
      </c>
      <c r="Q91" t="str" cm="1">
        <f t="array" ref="Q91">IFERROR(AVERAGE(_xlfn._xlws.FILTER(Tabla1[[#Data],[GyX]],Tabla1[[ID]:[ID]]=$A91,0)),"")</f>
        <v/>
      </c>
      <c r="R91" t="str" cm="1">
        <f t="array" ref="R91">IF(IFERROR(MAX(_xlfn._xlws.FILTER(Tabla1[[#Data],[GyX]],Tabla1[[ID]:[ID]]=$A91,0)),"")=0,"",IFERROR(MAX(_xlfn._xlws.FILTER(Tabla1[[#Data],[GyX]],Tabla1[[ID]:[ID]]=$A91,0)),""))</f>
        <v/>
      </c>
      <c r="S91" t="str" cm="1">
        <f t="array" ref="S91">IF(IFERROR(MIN(_xlfn._xlws.FILTER(Tabla1[[#Data],[GyX]],Tabla1[[ID]:[ID]]=$A91,0)),"")=0,"",IFERROR(MIN(_xlfn._xlws.FILTER(Tabla1[[#Data],[GyX]],Tabla1[[ID]:[ID]]=$A91,0)),""))</f>
        <v/>
      </c>
      <c r="T91" t="str" cm="1">
        <f t="array" ref="T91">IFERROR(AVERAGE(_xlfn._xlws.FILTER(Tabla1[[#Data],[GyY]],Tabla1[[ID]:[ID]]=$A91,0)),"")</f>
        <v/>
      </c>
      <c r="U91" t="str" cm="1">
        <f t="array" ref="U91">IF(IFERROR(MAX(_xlfn._xlws.FILTER(Tabla1[[#Data],[GyY]],Tabla1[[ID]:[ID]]=$A91,0)),"")=0,"",IFERROR(MAX(_xlfn._xlws.FILTER(Tabla1[[#Data],[GyY]],Tabla1[[ID]:[ID]]=$A91,0)),""))</f>
        <v/>
      </c>
      <c r="V91" t="str" cm="1">
        <f t="array" ref="V91">IF(IFERROR(MIN(_xlfn._xlws.FILTER(Tabla1[[#Data],[GyY]],Tabla1[[ID]:[ID]]=$A91,0)),"")=0,"",IFERROR(MIN(_xlfn._xlws.FILTER(Tabla1[[#Data],[GyY]],Tabla1[[ID]:[ID]]=$A91,0)),""))</f>
        <v/>
      </c>
      <c r="W91" t="str" cm="1">
        <f t="array" ref="W91">IFERROR(AVERAGE(_xlfn._xlws.FILTER(Tabla1[[#Data],[GyZ]],Tabla1[[ID]:[ID]]=$A91,0)),"")</f>
        <v/>
      </c>
      <c r="X91" t="str" cm="1">
        <f t="array" ref="X91">IF(IFERROR(MAX(_xlfn._xlws.FILTER(Tabla1[[#Data],[GyZ]],Tabla1[[ID]:[ID]]=$A91,0)),"")=0,"",IFERROR(MAX(_xlfn._xlws.FILTER(Tabla1[[#Data],[GyZ]],Tabla1[[ID]:[ID]]=$A91,0)),""))</f>
        <v/>
      </c>
      <c r="Y91" t="str" cm="1">
        <f t="array" ref="Y91">IF(IFERROR(MIN(_xlfn._xlws.FILTER(Tabla1[[#Data],[GyZ]],Tabla1[[ID]:[ID]]=$A91,0)),"")=0,"",IFERROR(MIN(_xlfn._xlws.FILTER(Tabla1[[#Data],[GyZ]],Tabla1[[ID]:[ID]]=$A91,0)),""))</f>
        <v/>
      </c>
      <c r="Z91" t="str" cm="1">
        <f t="array" ref="Z91">IF(ISNUMBER(A91),IF(ISNUMBER(MATCH(1,_xlfn._xlws.FILTER(Tabla1[[#Data],[Open]],Tabla1[[ID]:[ID]]=$A91,""))),1,0),"")</f>
        <v/>
      </c>
      <c r="AA91" t="str">
        <f t="shared" si="10"/>
        <v/>
      </c>
      <c r="AB91" t="str">
        <f t="shared" si="11"/>
        <v/>
      </c>
      <c r="AC91" t="str">
        <f t="shared" si="12"/>
        <v/>
      </c>
      <c r="AD91" t="str">
        <f t="shared" si="13"/>
        <v/>
      </c>
      <c r="AE91" t="str">
        <f t="shared" si="14"/>
        <v/>
      </c>
      <c r="AF91" t="str">
        <f t="shared" si="15"/>
        <v/>
      </c>
      <c r="AG91" t="str">
        <f t="shared" si="16"/>
        <v/>
      </c>
      <c r="AH91" t="str">
        <f t="shared" si="17"/>
        <v/>
      </c>
      <c r="AI91" t="str">
        <f t="shared" si="18"/>
        <v/>
      </c>
      <c r="AJ91" t="str">
        <f t="shared" si="19"/>
        <v/>
      </c>
    </row>
    <row r="92" spans="2:36" x14ac:dyDescent="0.35">
      <c r="B92" t="str" cm="1">
        <f t="array" ref="B92">IFERROR(AVERAGE(_xlfn._xlws.FILTER(Tabla1[[#Data],[Temperatura]],Tabla1[[ID]:[ID]]=$A92,0)),"")</f>
        <v/>
      </c>
      <c r="C92" t="str" cm="1">
        <f t="array" ref="C92">IF(IFERROR(MAX(_xlfn._xlws.FILTER(Tabla1[[#Data],[Temperatura]],Tabla1[[ID]:[ID]]=$A92,0)),"")=0,"",IFERROR(MAX(_xlfn._xlws.FILTER(Tabla1[[#Data],[Temperatura]],Tabla1[[ID]:[ID]]=$A92,0)),""))</f>
        <v/>
      </c>
      <c r="D92" t="str" cm="1">
        <f t="array" ref="D92">IF(IFERROR(MIN(_xlfn._xlws.FILTER(Tabla1[[#Data],[Temperatura]],Tabla1[[ID]:[ID]]=$A92,0)),"")=0,"",IFERROR(MIN(_xlfn._xlws.FILTER(Tabla1[[#Data],[Temperatura]],Tabla1[[ID]:[ID]]=$A92,0)),""))</f>
        <v/>
      </c>
      <c r="E92" t="str" cm="1">
        <f t="array" ref="E92">IFERROR(AVERAGE(_xlfn._xlws.FILTER(Tabla1[[#Data],[Humidade]],Tabla1[[ID]:[ID]]=$A92,0)),"")</f>
        <v/>
      </c>
      <c r="F92" t="str" cm="1">
        <f t="array" ref="F92">IF(IFERROR(MAX(_xlfn._xlws.FILTER(Tabla1[[#Data],[Humidade]],Tabla1[[ID]:[ID]]=$A92,0)),"")=0,"",IFERROR(MAX(_xlfn._xlws.FILTER(Tabla1[[#Data],[Humidade]],Tabla1[[ID]:[ID]]=$A92,0)),""))</f>
        <v/>
      </c>
      <c r="G92" t="str" cm="1">
        <f t="array" ref="G92">IF(IFERROR(MIN(_xlfn._xlws.FILTER(Tabla1[[#Data],[Humidade]],Tabla1[[ID]:[ID]]=$A92,0)),"")=0,"",IFERROR(MIN(_xlfn._xlws.FILTER(Tabla1[[#Data],[Humidade]],Tabla1[[ID]:[ID]]=$A92,0)),""))</f>
        <v/>
      </c>
      <c r="H92" t="str" cm="1">
        <f t="array" ref="H92">IFERROR(AVERAGE(_xlfn._xlws.FILTER(Tabla1[[#Data],[AcX]],Tabla1[[ID]:[ID]]=$A92,0)),"")</f>
        <v/>
      </c>
      <c r="I92" t="str" cm="1">
        <f t="array" ref="I92">IF(IFERROR(MAX(_xlfn._xlws.FILTER(Tabla1[[#Data],[AcX]],Tabla1[[ID]:[ID]]=$A92,0)),"")=0,"",IFERROR(MAX(_xlfn._xlws.FILTER(Tabla1[[#Data],[AcX]],Tabla1[[ID]:[ID]]=$A92,0)),""))</f>
        <v/>
      </c>
      <c r="J92" t="str" cm="1">
        <f t="array" ref="J92">IF(IFERROR(MIN(_xlfn._xlws.FILTER(Tabla1[[#Data],[AcX]],Tabla1[[ID]:[ID]]=$A92,0)),"")=0,"",IFERROR(MIN(_xlfn._xlws.FILTER(Tabla1[[#Data],[AcX]],Tabla1[[ID]:[ID]]=$A92,0)),""))</f>
        <v/>
      </c>
      <c r="K92" t="str" cm="1">
        <f t="array" ref="K92">IFERROR(AVERAGE(_xlfn._xlws.FILTER(Tabla1[[#Data],[AcY]],Tabla1[[ID]:[ID]]=$A92,0)),"")</f>
        <v/>
      </c>
      <c r="L92" t="str" cm="1">
        <f t="array" ref="L92">IF(IFERROR(MAX(_xlfn._xlws.FILTER(Tabla1[[#Data],[AcY]],Tabla1[[ID]:[ID]]=$A92,0)),"")=0,"",IFERROR(MAX(_xlfn._xlws.FILTER(Tabla1[[#Data],[AcY]],Tabla1[[ID]:[ID]]=$A92,0)),""))</f>
        <v/>
      </c>
      <c r="M92" t="str" cm="1">
        <f t="array" ref="M92">IF(IFERROR(MIN(_xlfn._xlws.FILTER(Tabla1[[#Data],[AcY]],Tabla1[[ID]:[ID]]=$A92,0)),"")=0,"",IFERROR(MIN(_xlfn._xlws.FILTER(Tabla1[[#Data],[AcY]],Tabla1[[ID]:[ID]]=$A92,0)),""))</f>
        <v/>
      </c>
      <c r="N92" t="str" cm="1">
        <f t="array" ref="N92">IFERROR(AVERAGE(_xlfn._xlws.FILTER(Tabla1[[#Data],[AcZ]],Tabla1[[ID]:[ID]]=$A92,0)),"")</f>
        <v/>
      </c>
      <c r="O92" t="str" cm="1">
        <f t="array" ref="O92">IF(IFERROR(MAX(_xlfn._xlws.FILTER(Tabla1[[#Data],[AcZ]],Tabla1[[ID]:[ID]]=$A92,0)),"")=0,"",IFERROR(MAX(_xlfn._xlws.FILTER(Tabla1[[#Data],[AcZ]],Tabla1[[ID]:[ID]]=$A92,0)),""))</f>
        <v/>
      </c>
      <c r="P92" t="str" cm="1">
        <f t="array" ref="P92">IF(IFERROR(MIN(_xlfn._xlws.FILTER(Tabla1[[#Data],[AcZ]],Tabla1[[ID]:[ID]]=$A92,0)),"")=0,"",IFERROR(MIN(_xlfn._xlws.FILTER(Tabla1[[#Data],[AcZ]],Tabla1[[ID]:[ID]]=$A92,0)),""))</f>
        <v/>
      </c>
      <c r="Q92" t="str" cm="1">
        <f t="array" ref="Q92">IFERROR(AVERAGE(_xlfn._xlws.FILTER(Tabla1[[#Data],[GyX]],Tabla1[[ID]:[ID]]=$A92,0)),"")</f>
        <v/>
      </c>
      <c r="R92" t="str" cm="1">
        <f t="array" ref="R92">IF(IFERROR(MAX(_xlfn._xlws.FILTER(Tabla1[[#Data],[GyX]],Tabla1[[ID]:[ID]]=$A92,0)),"")=0,"",IFERROR(MAX(_xlfn._xlws.FILTER(Tabla1[[#Data],[GyX]],Tabla1[[ID]:[ID]]=$A92,0)),""))</f>
        <v/>
      </c>
      <c r="S92" t="str" cm="1">
        <f t="array" ref="S92">IF(IFERROR(MIN(_xlfn._xlws.FILTER(Tabla1[[#Data],[GyX]],Tabla1[[ID]:[ID]]=$A92,0)),"")=0,"",IFERROR(MIN(_xlfn._xlws.FILTER(Tabla1[[#Data],[GyX]],Tabla1[[ID]:[ID]]=$A92,0)),""))</f>
        <v/>
      </c>
      <c r="T92" t="str" cm="1">
        <f t="array" ref="T92">IFERROR(AVERAGE(_xlfn._xlws.FILTER(Tabla1[[#Data],[GyY]],Tabla1[[ID]:[ID]]=$A92,0)),"")</f>
        <v/>
      </c>
      <c r="U92" t="str" cm="1">
        <f t="array" ref="U92">IF(IFERROR(MAX(_xlfn._xlws.FILTER(Tabla1[[#Data],[GyY]],Tabla1[[ID]:[ID]]=$A92,0)),"")=0,"",IFERROR(MAX(_xlfn._xlws.FILTER(Tabla1[[#Data],[GyY]],Tabla1[[ID]:[ID]]=$A92,0)),""))</f>
        <v/>
      </c>
      <c r="V92" t="str" cm="1">
        <f t="array" ref="V92">IF(IFERROR(MIN(_xlfn._xlws.FILTER(Tabla1[[#Data],[GyY]],Tabla1[[ID]:[ID]]=$A92,0)),"")=0,"",IFERROR(MIN(_xlfn._xlws.FILTER(Tabla1[[#Data],[GyY]],Tabla1[[ID]:[ID]]=$A92,0)),""))</f>
        <v/>
      </c>
      <c r="W92" t="str" cm="1">
        <f t="array" ref="W92">IFERROR(AVERAGE(_xlfn._xlws.FILTER(Tabla1[[#Data],[GyZ]],Tabla1[[ID]:[ID]]=$A92,0)),"")</f>
        <v/>
      </c>
      <c r="X92" t="str" cm="1">
        <f t="array" ref="X92">IF(IFERROR(MAX(_xlfn._xlws.FILTER(Tabla1[[#Data],[GyZ]],Tabla1[[ID]:[ID]]=$A92,0)),"")=0,"",IFERROR(MAX(_xlfn._xlws.FILTER(Tabla1[[#Data],[GyZ]],Tabla1[[ID]:[ID]]=$A92,0)),""))</f>
        <v/>
      </c>
      <c r="Y92" t="str" cm="1">
        <f t="array" ref="Y92">IF(IFERROR(MIN(_xlfn._xlws.FILTER(Tabla1[[#Data],[GyZ]],Tabla1[[ID]:[ID]]=$A92,0)),"")=0,"",IFERROR(MIN(_xlfn._xlws.FILTER(Tabla1[[#Data],[GyZ]],Tabla1[[ID]:[ID]]=$A92,0)),""))</f>
        <v/>
      </c>
      <c r="Z92" t="str" cm="1">
        <f t="array" ref="Z92">IF(ISNUMBER(A92),IF(ISNUMBER(MATCH(1,_xlfn._xlws.FILTER(Tabla1[[#Data],[Open]],Tabla1[[ID]:[ID]]=$A92,""))),1,0),"")</f>
        <v/>
      </c>
      <c r="AA92" t="str">
        <f t="shared" si="10"/>
        <v/>
      </c>
      <c r="AB92" t="str">
        <f t="shared" si="11"/>
        <v/>
      </c>
      <c r="AC92" t="str">
        <f t="shared" si="12"/>
        <v/>
      </c>
      <c r="AD92" t="str">
        <f t="shared" si="13"/>
        <v/>
      </c>
      <c r="AE92" t="str">
        <f t="shared" si="14"/>
        <v/>
      </c>
      <c r="AF92" t="str">
        <f t="shared" si="15"/>
        <v/>
      </c>
      <c r="AG92" t="str">
        <f t="shared" si="16"/>
        <v/>
      </c>
      <c r="AH92" t="str">
        <f t="shared" si="17"/>
        <v/>
      </c>
      <c r="AI92" t="str">
        <f t="shared" si="18"/>
        <v/>
      </c>
      <c r="AJ92" t="str">
        <f t="shared" si="19"/>
        <v/>
      </c>
    </row>
    <row r="93" spans="2:36" x14ac:dyDescent="0.35">
      <c r="B93" t="str" cm="1">
        <f t="array" ref="B93">IFERROR(AVERAGE(_xlfn._xlws.FILTER(Tabla1[[#Data],[Temperatura]],Tabla1[[ID]:[ID]]=$A93,0)),"")</f>
        <v/>
      </c>
      <c r="C93" t="str" cm="1">
        <f t="array" ref="C93">IF(IFERROR(MAX(_xlfn._xlws.FILTER(Tabla1[[#Data],[Temperatura]],Tabla1[[ID]:[ID]]=$A93,0)),"")=0,"",IFERROR(MAX(_xlfn._xlws.FILTER(Tabla1[[#Data],[Temperatura]],Tabla1[[ID]:[ID]]=$A93,0)),""))</f>
        <v/>
      </c>
      <c r="D93" t="str" cm="1">
        <f t="array" ref="D93">IF(IFERROR(MIN(_xlfn._xlws.FILTER(Tabla1[[#Data],[Temperatura]],Tabla1[[ID]:[ID]]=$A93,0)),"")=0,"",IFERROR(MIN(_xlfn._xlws.FILTER(Tabla1[[#Data],[Temperatura]],Tabla1[[ID]:[ID]]=$A93,0)),""))</f>
        <v/>
      </c>
      <c r="E93" t="str" cm="1">
        <f t="array" ref="E93">IFERROR(AVERAGE(_xlfn._xlws.FILTER(Tabla1[[#Data],[Humidade]],Tabla1[[ID]:[ID]]=$A93,0)),"")</f>
        <v/>
      </c>
      <c r="F93" t="str" cm="1">
        <f t="array" ref="F93">IF(IFERROR(MAX(_xlfn._xlws.FILTER(Tabla1[[#Data],[Humidade]],Tabla1[[ID]:[ID]]=$A93,0)),"")=0,"",IFERROR(MAX(_xlfn._xlws.FILTER(Tabla1[[#Data],[Humidade]],Tabla1[[ID]:[ID]]=$A93,0)),""))</f>
        <v/>
      </c>
      <c r="G93" t="str" cm="1">
        <f t="array" ref="G93">IF(IFERROR(MIN(_xlfn._xlws.FILTER(Tabla1[[#Data],[Humidade]],Tabla1[[ID]:[ID]]=$A93,0)),"")=0,"",IFERROR(MIN(_xlfn._xlws.FILTER(Tabla1[[#Data],[Humidade]],Tabla1[[ID]:[ID]]=$A93,0)),""))</f>
        <v/>
      </c>
      <c r="H93" t="str" cm="1">
        <f t="array" ref="H93">IFERROR(AVERAGE(_xlfn._xlws.FILTER(Tabla1[[#Data],[AcX]],Tabla1[[ID]:[ID]]=$A93,0)),"")</f>
        <v/>
      </c>
      <c r="I93" t="str" cm="1">
        <f t="array" ref="I93">IF(IFERROR(MAX(_xlfn._xlws.FILTER(Tabla1[[#Data],[AcX]],Tabla1[[ID]:[ID]]=$A93,0)),"")=0,"",IFERROR(MAX(_xlfn._xlws.FILTER(Tabla1[[#Data],[AcX]],Tabla1[[ID]:[ID]]=$A93,0)),""))</f>
        <v/>
      </c>
      <c r="J93" t="str" cm="1">
        <f t="array" ref="J93">IF(IFERROR(MIN(_xlfn._xlws.FILTER(Tabla1[[#Data],[AcX]],Tabla1[[ID]:[ID]]=$A93,0)),"")=0,"",IFERROR(MIN(_xlfn._xlws.FILTER(Tabla1[[#Data],[AcX]],Tabla1[[ID]:[ID]]=$A93,0)),""))</f>
        <v/>
      </c>
      <c r="K93" t="str" cm="1">
        <f t="array" ref="K93">IFERROR(AVERAGE(_xlfn._xlws.FILTER(Tabla1[[#Data],[AcY]],Tabla1[[ID]:[ID]]=$A93,0)),"")</f>
        <v/>
      </c>
      <c r="L93" t="str" cm="1">
        <f t="array" ref="L93">IF(IFERROR(MAX(_xlfn._xlws.FILTER(Tabla1[[#Data],[AcY]],Tabla1[[ID]:[ID]]=$A93,0)),"")=0,"",IFERROR(MAX(_xlfn._xlws.FILTER(Tabla1[[#Data],[AcY]],Tabla1[[ID]:[ID]]=$A93,0)),""))</f>
        <v/>
      </c>
      <c r="M93" t="str" cm="1">
        <f t="array" ref="M93">IF(IFERROR(MIN(_xlfn._xlws.FILTER(Tabla1[[#Data],[AcY]],Tabla1[[ID]:[ID]]=$A93,0)),"")=0,"",IFERROR(MIN(_xlfn._xlws.FILTER(Tabla1[[#Data],[AcY]],Tabla1[[ID]:[ID]]=$A93,0)),""))</f>
        <v/>
      </c>
      <c r="N93" t="str" cm="1">
        <f t="array" ref="N93">IFERROR(AVERAGE(_xlfn._xlws.FILTER(Tabla1[[#Data],[AcZ]],Tabla1[[ID]:[ID]]=$A93,0)),"")</f>
        <v/>
      </c>
      <c r="O93" t="str" cm="1">
        <f t="array" ref="O93">IF(IFERROR(MAX(_xlfn._xlws.FILTER(Tabla1[[#Data],[AcZ]],Tabla1[[ID]:[ID]]=$A93,0)),"")=0,"",IFERROR(MAX(_xlfn._xlws.FILTER(Tabla1[[#Data],[AcZ]],Tabla1[[ID]:[ID]]=$A93,0)),""))</f>
        <v/>
      </c>
      <c r="P93" t="str" cm="1">
        <f t="array" ref="P93">IF(IFERROR(MIN(_xlfn._xlws.FILTER(Tabla1[[#Data],[AcZ]],Tabla1[[ID]:[ID]]=$A93,0)),"")=0,"",IFERROR(MIN(_xlfn._xlws.FILTER(Tabla1[[#Data],[AcZ]],Tabla1[[ID]:[ID]]=$A93,0)),""))</f>
        <v/>
      </c>
      <c r="Q93" t="str" cm="1">
        <f t="array" ref="Q93">IFERROR(AVERAGE(_xlfn._xlws.FILTER(Tabla1[[#Data],[GyX]],Tabla1[[ID]:[ID]]=$A93,0)),"")</f>
        <v/>
      </c>
      <c r="R93" t="str" cm="1">
        <f t="array" ref="R93">IF(IFERROR(MAX(_xlfn._xlws.FILTER(Tabla1[[#Data],[GyX]],Tabla1[[ID]:[ID]]=$A93,0)),"")=0,"",IFERROR(MAX(_xlfn._xlws.FILTER(Tabla1[[#Data],[GyX]],Tabla1[[ID]:[ID]]=$A93,0)),""))</f>
        <v/>
      </c>
      <c r="S93" t="str" cm="1">
        <f t="array" ref="S93">IF(IFERROR(MIN(_xlfn._xlws.FILTER(Tabla1[[#Data],[GyX]],Tabla1[[ID]:[ID]]=$A93,0)),"")=0,"",IFERROR(MIN(_xlfn._xlws.FILTER(Tabla1[[#Data],[GyX]],Tabla1[[ID]:[ID]]=$A93,0)),""))</f>
        <v/>
      </c>
      <c r="T93" t="str" cm="1">
        <f t="array" ref="T93">IFERROR(AVERAGE(_xlfn._xlws.FILTER(Tabla1[[#Data],[GyY]],Tabla1[[ID]:[ID]]=$A93,0)),"")</f>
        <v/>
      </c>
      <c r="U93" t="str" cm="1">
        <f t="array" ref="U93">IF(IFERROR(MAX(_xlfn._xlws.FILTER(Tabla1[[#Data],[GyY]],Tabla1[[ID]:[ID]]=$A93,0)),"")=0,"",IFERROR(MAX(_xlfn._xlws.FILTER(Tabla1[[#Data],[GyY]],Tabla1[[ID]:[ID]]=$A93,0)),""))</f>
        <v/>
      </c>
      <c r="V93" t="str" cm="1">
        <f t="array" ref="V93">IF(IFERROR(MIN(_xlfn._xlws.FILTER(Tabla1[[#Data],[GyY]],Tabla1[[ID]:[ID]]=$A93,0)),"")=0,"",IFERROR(MIN(_xlfn._xlws.FILTER(Tabla1[[#Data],[GyY]],Tabla1[[ID]:[ID]]=$A93,0)),""))</f>
        <v/>
      </c>
      <c r="W93" t="str" cm="1">
        <f t="array" ref="W93">IFERROR(AVERAGE(_xlfn._xlws.FILTER(Tabla1[[#Data],[GyZ]],Tabla1[[ID]:[ID]]=$A93,0)),"")</f>
        <v/>
      </c>
      <c r="X93" t="str" cm="1">
        <f t="array" ref="X93">IF(IFERROR(MAX(_xlfn._xlws.FILTER(Tabla1[[#Data],[GyZ]],Tabla1[[ID]:[ID]]=$A93,0)),"")=0,"",IFERROR(MAX(_xlfn._xlws.FILTER(Tabla1[[#Data],[GyZ]],Tabla1[[ID]:[ID]]=$A93,0)),""))</f>
        <v/>
      </c>
      <c r="Y93" t="str" cm="1">
        <f t="array" ref="Y93">IF(IFERROR(MIN(_xlfn._xlws.FILTER(Tabla1[[#Data],[GyZ]],Tabla1[[ID]:[ID]]=$A93,0)),"")=0,"",IFERROR(MIN(_xlfn._xlws.FILTER(Tabla1[[#Data],[GyZ]],Tabla1[[ID]:[ID]]=$A93,0)),""))</f>
        <v/>
      </c>
      <c r="Z93" t="str" cm="1">
        <f t="array" ref="Z93">IF(ISNUMBER(A93),IF(ISNUMBER(MATCH(1,_xlfn._xlws.FILTER(Tabla1[[#Data],[Open]],Tabla1[[ID]:[ID]]=$A93,""))),1,0),"")</f>
        <v/>
      </c>
      <c r="AA93" t="str">
        <f t="shared" si="10"/>
        <v/>
      </c>
      <c r="AB93" t="str">
        <f t="shared" si="11"/>
        <v/>
      </c>
      <c r="AC93" t="str">
        <f t="shared" si="12"/>
        <v/>
      </c>
      <c r="AD93" t="str">
        <f t="shared" si="13"/>
        <v/>
      </c>
      <c r="AE93" t="str">
        <f t="shared" si="14"/>
        <v/>
      </c>
      <c r="AF93" t="str">
        <f t="shared" si="15"/>
        <v/>
      </c>
      <c r="AG93" t="str">
        <f t="shared" si="16"/>
        <v/>
      </c>
      <c r="AH93" t="str">
        <f t="shared" si="17"/>
        <v/>
      </c>
      <c r="AI93" t="str">
        <f t="shared" si="18"/>
        <v/>
      </c>
      <c r="AJ93" t="str">
        <f t="shared" si="19"/>
        <v/>
      </c>
    </row>
    <row r="94" spans="2:36" x14ac:dyDescent="0.35">
      <c r="B94" t="str" cm="1">
        <f t="array" ref="B94">IFERROR(AVERAGE(_xlfn._xlws.FILTER(Tabla1[[#Data],[Temperatura]],Tabla1[[ID]:[ID]]=$A94,0)),"")</f>
        <v/>
      </c>
      <c r="C94" t="str" cm="1">
        <f t="array" ref="C94">IF(IFERROR(MAX(_xlfn._xlws.FILTER(Tabla1[[#Data],[Temperatura]],Tabla1[[ID]:[ID]]=$A94,0)),"")=0,"",IFERROR(MAX(_xlfn._xlws.FILTER(Tabla1[[#Data],[Temperatura]],Tabla1[[ID]:[ID]]=$A94,0)),""))</f>
        <v/>
      </c>
      <c r="D94" t="str" cm="1">
        <f t="array" ref="D94">IF(IFERROR(MIN(_xlfn._xlws.FILTER(Tabla1[[#Data],[Temperatura]],Tabla1[[ID]:[ID]]=$A94,0)),"")=0,"",IFERROR(MIN(_xlfn._xlws.FILTER(Tabla1[[#Data],[Temperatura]],Tabla1[[ID]:[ID]]=$A94,0)),""))</f>
        <v/>
      </c>
      <c r="E94" t="str" cm="1">
        <f t="array" ref="E94">IFERROR(AVERAGE(_xlfn._xlws.FILTER(Tabla1[[#Data],[Humidade]],Tabla1[[ID]:[ID]]=$A94,0)),"")</f>
        <v/>
      </c>
      <c r="F94" t="str" cm="1">
        <f t="array" ref="F94">IF(IFERROR(MAX(_xlfn._xlws.FILTER(Tabla1[[#Data],[Humidade]],Tabla1[[ID]:[ID]]=$A94,0)),"")=0,"",IFERROR(MAX(_xlfn._xlws.FILTER(Tabla1[[#Data],[Humidade]],Tabla1[[ID]:[ID]]=$A94,0)),""))</f>
        <v/>
      </c>
      <c r="G94" t="str" cm="1">
        <f t="array" ref="G94">IF(IFERROR(MIN(_xlfn._xlws.FILTER(Tabla1[[#Data],[Humidade]],Tabla1[[ID]:[ID]]=$A94,0)),"")=0,"",IFERROR(MIN(_xlfn._xlws.FILTER(Tabla1[[#Data],[Humidade]],Tabla1[[ID]:[ID]]=$A94,0)),""))</f>
        <v/>
      </c>
      <c r="H94" t="str" cm="1">
        <f t="array" ref="H94">IFERROR(AVERAGE(_xlfn._xlws.FILTER(Tabla1[[#Data],[AcX]],Tabla1[[ID]:[ID]]=$A94,0)),"")</f>
        <v/>
      </c>
      <c r="I94" t="str" cm="1">
        <f t="array" ref="I94">IF(IFERROR(MAX(_xlfn._xlws.FILTER(Tabla1[[#Data],[AcX]],Tabla1[[ID]:[ID]]=$A94,0)),"")=0,"",IFERROR(MAX(_xlfn._xlws.FILTER(Tabla1[[#Data],[AcX]],Tabla1[[ID]:[ID]]=$A94,0)),""))</f>
        <v/>
      </c>
      <c r="J94" t="str" cm="1">
        <f t="array" ref="J94">IF(IFERROR(MIN(_xlfn._xlws.FILTER(Tabla1[[#Data],[AcX]],Tabla1[[ID]:[ID]]=$A94,0)),"")=0,"",IFERROR(MIN(_xlfn._xlws.FILTER(Tabla1[[#Data],[AcX]],Tabla1[[ID]:[ID]]=$A94,0)),""))</f>
        <v/>
      </c>
      <c r="K94" t="str" cm="1">
        <f t="array" ref="K94">IFERROR(AVERAGE(_xlfn._xlws.FILTER(Tabla1[[#Data],[AcY]],Tabla1[[ID]:[ID]]=$A94,0)),"")</f>
        <v/>
      </c>
      <c r="L94" t="str" cm="1">
        <f t="array" ref="L94">IF(IFERROR(MAX(_xlfn._xlws.FILTER(Tabla1[[#Data],[AcY]],Tabla1[[ID]:[ID]]=$A94,0)),"")=0,"",IFERROR(MAX(_xlfn._xlws.FILTER(Tabla1[[#Data],[AcY]],Tabla1[[ID]:[ID]]=$A94,0)),""))</f>
        <v/>
      </c>
      <c r="M94" t="str" cm="1">
        <f t="array" ref="M94">IF(IFERROR(MIN(_xlfn._xlws.FILTER(Tabla1[[#Data],[AcY]],Tabla1[[ID]:[ID]]=$A94,0)),"")=0,"",IFERROR(MIN(_xlfn._xlws.FILTER(Tabla1[[#Data],[AcY]],Tabla1[[ID]:[ID]]=$A94,0)),""))</f>
        <v/>
      </c>
      <c r="N94" t="str" cm="1">
        <f t="array" ref="N94">IFERROR(AVERAGE(_xlfn._xlws.FILTER(Tabla1[[#Data],[AcZ]],Tabla1[[ID]:[ID]]=$A94,0)),"")</f>
        <v/>
      </c>
      <c r="O94" t="str" cm="1">
        <f t="array" ref="O94">IF(IFERROR(MAX(_xlfn._xlws.FILTER(Tabla1[[#Data],[AcZ]],Tabla1[[ID]:[ID]]=$A94,0)),"")=0,"",IFERROR(MAX(_xlfn._xlws.FILTER(Tabla1[[#Data],[AcZ]],Tabla1[[ID]:[ID]]=$A94,0)),""))</f>
        <v/>
      </c>
      <c r="P94" t="str" cm="1">
        <f t="array" ref="P94">IF(IFERROR(MIN(_xlfn._xlws.FILTER(Tabla1[[#Data],[AcZ]],Tabla1[[ID]:[ID]]=$A94,0)),"")=0,"",IFERROR(MIN(_xlfn._xlws.FILTER(Tabla1[[#Data],[AcZ]],Tabla1[[ID]:[ID]]=$A94,0)),""))</f>
        <v/>
      </c>
      <c r="Q94" t="str" cm="1">
        <f t="array" ref="Q94">IFERROR(AVERAGE(_xlfn._xlws.FILTER(Tabla1[[#Data],[GyX]],Tabla1[[ID]:[ID]]=$A94,0)),"")</f>
        <v/>
      </c>
      <c r="R94" t="str" cm="1">
        <f t="array" ref="R94">IF(IFERROR(MAX(_xlfn._xlws.FILTER(Tabla1[[#Data],[GyX]],Tabla1[[ID]:[ID]]=$A94,0)),"")=0,"",IFERROR(MAX(_xlfn._xlws.FILTER(Tabla1[[#Data],[GyX]],Tabla1[[ID]:[ID]]=$A94,0)),""))</f>
        <v/>
      </c>
      <c r="S94" t="str" cm="1">
        <f t="array" ref="S94">IF(IFERROR(MIN(_xlfn._xlws.FILTER(Tabla1[[#Data],[GyX]],Tabla1[[ID]:[ID]]=$A94,0)),"")=0,"",IFERROR(MIN(_xlfn._xlws.FILTER(Tabla1[[#Data],[GyX]],Tabla1[[ID]:[ID]]=$A94,0)),""))</f>
        <v/>
      </c>
      <c r="T94" t="str" cm="1">
        <f t="array" ref="T94">IFERROR(AVERAGE(_xlfn._xlws.FILTER(Tabla1[[#Data],[GyY]],Tabla1[[ID]:[ID]]=$A94,0)),"")</f>
        <v/>
      </c>
      <c r="U94" t="str" cm="1">
        <f t="array" ref="U94">IF(IFERROR(MAX(_xlfn._xlws.FILTER(Tabla1[[#Data],[GyY]],Tabla1[[ID]:[ID]]=$A94,0)),"")=0,"",IFERROR(MAX(_xlfn._xlws.FILTER(Tabla1[[#Data],[GyY]],Tabla1[[ID]:[ID]]=$A94,0)),""))</f>
        <v/>
      </c>
      <c r="V94" t="str" cm="1">
        <f t="array" ref="V94">IF(IFERROR(MIN(_xlfn._xlws.FILTER(Tabla1[[#Data],[GyY]],Tabla1[[ID]:[ID]]=$A94,0)),"")=0,"",IFERROR(MIN(_xlfn._xlws.FILTER(Tabla1[[#Data],[GyY]],Tabla1[[ID]:[ID]]=$A94,0)),""))</f>
        <v/>
      </c>
      <c r="W94" t="str" cm="1">
        <f t="array" ref="W94">IFERROR(AVERAGE(_xlfn._xlws.FILTER(Tabla1[[#Data],[GyZ]],Tabla1[[ID]:[ID]]=$A94,0)),"")</f>
        <v/>
      </c>
      <c r="X94" t="str" cm="1">
        <f t="array" ref="X94">IF(IFERROR(MAX(_xlfn._xlws.FILTER(Tabla1[[#Data],[GyZ]],Tabla1[[ID]:[ID]]=$A94,0)),"")=0,"",IFERROR(MAX(_xlfn._xlws.FILTER(Tabla1[[#Data],[GyZ]],Tabla1[[ID]:[ID]]=$A94,0)),""))</f>
        <v/>
      </c>
      <c r="Y94" t="str" cm="1">
        <f t="array" ref="Y94">IF(IFERROR(MIN(_xlfn._xlws.FILTER(Tabla1[[#Data],[GyZ]],Tabla1[[ID]:[ID]]=$A94,0)),"")=0,"",IFERROR(MIN(_xlfn._xlws.FILTER(Tabla1[[#Data],[GyZ]],Tabla1[[ID]:[ID]]=$A94,0)),""))</f>
        <v/>
      </c>
      <c r="Z94" t="str" cm="1">
        <f t="array" ref="Z94">IF(ISNUMBER(A94),IF(ISNUMBER(MATCH(1,_xlfn._xlws.FILTER(Tabla1[[#Data],[Open]],Tabla1[[ID]:[ID]]=$A94,""))),1,0),"")</f>
        <v/>
      </c>
      <c r="AA94" t="str">
        <f t="shared" si="10"/>
        <v/>
      </c>
      <c r="AB94" t="str">
        <f t="shared" si="11"/>
        <v/>
      </c>
      <c r="AC94" t="str">
        <f t="shared" si="12"/>
        <v/>
      </c>
      <c r="AD94" t="str">
        <f t="shared" si="13"/>
        <v/>
      </c>
      <c r="AE94" t="str">
        <f t="shared" si="14"/>
        <v/>
      </c>
      <c r="AF94" t="str">
        <f t="shared" si="15"/>
        <v/>
      </c>
      <c r="AG94" t="str">
        <f t="shared" si="16"/>
        <v/>
      </c>
      <c r="AH94" t="str">
        <f t="shared" si="17"/>
        <v/>
      </c>
      <c r="AI94" t="str">
        <f t="shared" si="18"/>
        <v/>
      </c>
      <c r="AJ94" t="str">
        <f t="shared" si="19"/>
        <v/>
      </c>
    </row>
    <row r="95" spans="2:36" x14ac:dyDescent="0.35">
      <c r="B95" t="str" cm="1">
        <f t="array" ref="B95">IFERROR(AVERAGE(_xlfn._xlws.FILTER(Tabla1[[#Data],[Temperatura]],Tabla1[[ID]:[ID]]=$A95,0)),"")</f>
        <v/>
      </c>
      <c r="C95" t="str" cm="1">
        <f t="array" ref="C95">IF(IFERROR(MAX(_xlfn._xlws.FILTER(Tabla1[[#Data],[Temperatura]],Tabla1[[ID]:[ID]]=$A95,0)),"")=0,"",IFERROR(MAX(_xlfn._xlws.FILTER(Tabla1[[#Data],[Temperatura]],Tabla1[[ID]:[ID]]=$A95,0)),""))</f>
        <v/>
      </c>
      <c r="D95" t="str" cm="1">
        <f t="array" ref="D95">IF(IFERROR(MIN(_xlfn._xlws.FILTER(Tabla1[[#Data],[Temperatura]],Tabla1[[ID]:[ID]]=$A95,0)),"")=0,"",IFERROR(MIN(_xlfn._xlws.FILTER(Tabla1[[#Data],[Temperatura]],Tabla1[[ID]:[ID]]=$A95,0)),""))</f>
        <v/>
      </c>
      <c r="E95" t="str" cm="1">
        <f t="array" ref="E95">IFERROR(AVERAGE(_xlfn._xlws.FILTER(Tabla1[[#Data],[Humidade]],Tabla1[[ID]:[ID]]=$A95,0)),"")</f>
        <v/>
      </c>
      <c r="F95" t="str" cm="1">
        <f t="array" ref="F95">IF(IFERROR(MAX(_xlfn._xlws.FILTER(Tabla1[[#Data],[Humidade]],Tabla1[[ID]:[ID]]=$A95,0)),"")=0,"",IFERROR(MAX(_xlfn._xlws.FILTER(Tabla1[[#Data],[Humidade]],Tabla1[[ID]:[ID]]=$A95,0)),""))</f>
        <v/>
      </c>
      <c r="G95" t="str" cm="1">
        <f t="array" ref="G95">IF(IFERROR(MIN(_xlfn._xlws.FILTER(Tabla1[[#Data],[Humidade]],Tabla1[[ID]:[ID]]=$A95,0)),"")=0,"",IFERROR(MIN(_xlfn._xlws.FILTER(Tabla1[[#Data],[Humidade]],Tabla1[[ID]:[ID]]=$A95,0)),""))</f>
        <v/>
      </c>
      <c r="H95" t="str" cm="1">
        <f t="array" ref="H95">IFERROR(AVERAGE(_xlfn._xlws.FILTER(Tabla1[[#Data],[AcX]],Tabla1[[ID]:[ID]]=$A95,0)),"")</f>
        <v/>
      </c>
      <c r="I95" t="str" cm="1">
        <f t="array" ref="I95">IF(IFERROR(MAX(_xlfn._xlws.FILTER(Tabla1[[#Data],[AcX]],Tabla1[[ID]:[ID]]=$A95,0)),"")=0,"",IFERROR(MAX(_xlfn._xlws.FILTER(Tabla1[[#Data],[AcX]],Tabla1[[ID]:[ID]]=$A95,0)),""))</f>
        <v/>
      </c>
      <c r="J95" t="str" cm="1">
        <f t="array" ref="J95">IF(IFERROR(MIN(_xlfn._xlws.FILTER(Tabla1[[#Data],[AcX]],Tabla1[[ID]:[ID]]=$A95,0)),"")=0,"",IFERROR(MIN(_xlfn._xlws.FILTER(Tabla1[[#Data],[AcX]],Tabla1[[ID]:[ID]]=$A95,0)),""))</f>
        <v/>
      </c>
      <c r="K95" t="str" cm="1">
        <f t="array" ref="K95">IFERROR(AVERAGE(_xlfn._xlws.FILTER(Tabla1[[#Data],[AcY]],Tabla1[[ID]:[ID]]=$A95,0)),"")</f>
        <v/>
      </c>
      <c r="L95" t="str" cm="1">
        <f t="array" ref="L95">IF(IFERROR(MAX(_xlfn._xlws.FILTER(Tabla1[[#Data],[AcY]],Tabla1[[ID]:[ID]]=$A95,0)),"")=0,"",IFERROR(MAX(_xlfn._xlws.FILTER(Tabla1[[#Data],[AcY]],Tabla1[[ID]:[ID]]=$A95,0)),""))</f>
        <v/>
      </c>
      <c r="M95" t="str" cm="1">
        <f t="array" ref="M95">IF(IFERROR(MIN(_xlfn._xlws.FILTER(Tabla1[[#Data],[AcY]],Tabla1[[ID]:[ID]]=$A95,0)),"")=0,"",IFERROR(MIN(_xlfn._xlws.FILTER(Tabla1[[#Data],[AcY]],Tabla1[[ID]:[ID]]=$A95,0)),""))</f>
        <v/>
      </c>
      <c r="N95" t="str" cm="1">
        <f t="array" ref="N95">IFERROR(AVERAGE(_xlfn._xlws.FILTER(Tabla1[[#Data],[AcZ]],Tabla1[[ID]:[ID]]=$A95,0)),"")</f>
        <v/>
      </c>
      <c r="O95" t="str" cm="1">
        <f t="array" ref="O95">IF(IFERROR(MAX(_xlfn._xlws.FILTER(Tabla1[[#Data],[AcZ]],Tabla1[[ID]:[ID]]=$A95,0)),"")=0,"",IFERROR(MAX(_xlfn._xlws.FILTER(Tabla1[[#Data],[AcZ]],Tabla1[[ID]:[ID]]=$A95,0)),""))</f>
        <v/>
      </c>
      <c r="P95" t="str" cm="1">
        <f t="array" ref="P95">IF(IFERROR(MIN(_xlfn._xlws.FILTER(Tabla1[[#Data],[AcZ]],Tabla1[[ID]:[ID]]=$A95,0)),"")=0,"",IFERROR(MIN(_xlfn._xlws.FILTER(Tabla1[[#Data],[AcZ]],Tabla1[[ID]:[ID]]=$A95,0)),""))</f>
        <v/>
      </c>
      <c r="Q95" t="str" cm="1">
        <f t="array" ref="Q95">IFERROR(AVERAGE(_xlfn._xlws.FILTER(Tabla1[[#Data],[GyX]],Tabla1[[ID]:[ID]]=$A95,0)),"")</f>
        <v/>
      </c>
      <c r="R95" t="str" cm="1">
        <f t="array" ref="R95">IF(IFERROR(MAX(_xlfn._xlws.FILTER(Tabla1[[#Data],[GyX]],Tabla1[[ID]:[ID]]=$A95,0)),"")=0,"",IFERROR(MAX(_xlfn._xlws.FILTER(Tabla1[[#Data],[GyX]],Tabla1[[ID]:[ID]]=$A95,0)),""))</f>
        <v/>
      </c>
      <c r="S95" t="str" cm="1">
        <f t="array" ref="S95">IF(IFERROR(MIN(_xlfn._xlws.FILTER(Tabla1[[#Data],[GyX]],Tabla1[[ID]:[ID]]=$A95,0)),"")=0,"",IFERROR(MIN(_xlfn._xlws.FILTER(Tabla1[[#Data],[GyX]],Tabla1[[ID]:[ID]]=$A95,0)),""))</f>
        <v/>
      </c>
      <c r="T95" t="str" cm="1">
        <f t="array" ref="T95">IFERROR(AVERAGE(_xlfn._xlws.FILTER(Tabla1[[#Data],[GyY]],Tabla1[[ID]:[ID]]=$A95,0)),"")</f>
        <v/>
      </c>
      <c r="U95" t="str" cm="1">
        <f t="array" ref="U95">IF(IFERROR(MAX(_xlfn._xlws.FILTER(Tabla1[[#Data],[GyY]],Tabla1[[ID]:[ID]]=$A95,0)),"")=0,"",IFERROR(MAX(_xlfn._xlws.FILTER(Tabla1[[#Data],[GyY]],Tabla1[[ID]:[ID]]=$A95,0)),""))</f>
        <v/>
      </c>
      <c r="V95" t="str" cm="1">
        <f t="array" ref="V95">IF(IFERROR(MIN(_xlfn._xlws.FILTER(Tabla1[[#Data],[GyY]],Tabla1[[ID]:[ID]]=$A95,0)),"")=0,"",IFERROR(MIN(_xlfn._xlws.FILTER(Tabla1[[#Data],[GyY]],Tabla1[[ID]:[ID]]=$A95,0)),""))</f>
        <v/>
      </c>
      <c r="W95" t="str" cm="1">
        <f t="array" ref="W95">IFERROR(AVERAGE(_xlfn._xlws.FILTER(Tabla1[[#Data],[GyZ]],Tabla1[[ID]:[ID]]=$A95,0)),"")</f>
        <v/>
      </c>
      <c r="X95" t="str" cm="1">
        <f t="array" ref="X95">IF(IFERROR(MAX(_xlfn._xlws.FILTER(Tabla1[[#Data],[GyZ]],Tabla1[[ID]:[ID]]=$A95,0)),"")=0,"",IFERROR(MAX(_xlfn._xlws.FILTER(Tabla1[[#Data],[GyZ]],Tabla1[[ID]:[ID]]=$A95,0)),""))</f>
        <v/>
      </c>
      <c r="Y95" t="str" cm="1">
        <f t="array" ref="Y95">IF(IFERROR(MIN(_xlfn._xlws.FILTER(Tabla1[[#Data],[GyZ]],Tabla1[[ID]:[ID]]=$A95,0)),"")=0,"",IFERROR(MIN(_xlfn._xlws.FILTER(Tabla1[[#Data],[GyZ]],Tabla1[[ID]:[ID]]=$A95,0)),""))</f>
        <v/>
      </c>
      <c r="Z95" t="str" cm="1">
        <f t="array" ref="Z95">IF(ISNUMBER(A95),IF(ISNUMBER(MATCH(1,_xlfn._xlws.FILTER(Tabla1[[#Data],[Open]],Tabla1[[ID]:[ID]]=$A95,""))),1,0),"")</f>
        <v/>
      </c>
      <c r="AA95" t="str">
        <f t="shared" si="10"/>
        <v/>
      </c>
      <c r="AB95" t="str">
        <f t="shared" si="11"/>
        <v/>
      </c>
      <c r="AC95" t="str">
        <f t="shared" si="12"/>
        <v/>
      </c>
      <c r="AD95" t="str">
        <f t="shared" si="13"/>
        <v/>
      </c>
      <c r="AE95" t="str">
        <f t="shared" si="14"/>
        <v/>
      </c>
      <c r="AF95" t="str">
        <f t="shared" si="15"/>
        <v/>
      </c>
      <c r="AG95" t="str">
        <f t="shared" si="16"/>
        <v/>
      </c>
      <c r="AH95" t="str">
        <f t="shared" si="17"/>
        <v/>
      </c>
      <c r="AI95" t="str">
        <f t="shared" si="18"/>
        <v/>
      </c>
      <c r="AJ95" t="str">
        <f t="shared" si="19"/>
        <v/>
      </c>
    </row>
    <row r="96" spans="2:36" x14ac:dyDescent="0.35">
      <c r="B96" t="str" cm="1">
        <f t="array" ref="B96">IFERROR(AVERAGE(_xlfn._xlws.FILTER(Tabla1[[#Data],[Temperatura]],Tabla1[[ID]:[ID]]=$A96,0)),"")</f>
        <v/>
      </c>
      <c r="C96" t="str" cm="1">
        <f t="array" ref="C96">IF(IFERROR(MAX(_xlfn._xlws.FILTER(Tabla1[[#Data],[Temperatura]],Tabla1[[ID]:[ID]]=$A96,0)),"")=0,"",IFERROR(MAX(_xlfn._xlws.FILTER(Tabla1[[#Data],[Temperatura]],Tabla1[[ID]:[ID]]=$A96,0)),""))</f>
        <v/>
      </c>
      <c r="D96" t="str" cm="1">
        <f t="array" ref="D96">IF(IFERROR(MIN(_xlfn._xlws.FILTER(Tabla1[[#Data],[Temperatura]],Tabla1[[ID]:[ID]]=$A96,0)),"")=0,"",IFERROR(MIN(_xlfn._xlws.FILTER(Tabla1[[#Data],[Temperatura]],Tabla1[[ID]:[ID]]=$A96,0)),""))</f>
        <v/>
      </c>
      <c r="E96" t="str" cm="1">
        <f t="array" ref="E96">IFERROR(AVERAGE(_xlfn._xlws.FILTER(Tabla1[[#Data],[Humidade]],Tabla1[[ID]:[ID]]=$A96,0)),"")</f>
        <v/>
      </c>
      <c r="F96" t="str" cm="1">
        <f t="array" ref="F96">IF(IFERROR(MAX(_xlfn._xlws.FILTER(Tabla1[[#Data],[Humidade]],Tabla1[[ID]:[ID]]=$A96,0)),"")=0,"",IFERROR(MAX(_xlfn._xlws.FILTER(Tabla1[[#Data],[Humidade]],Tabla1[[ID]:[ID]]=$A96,0)),""))</f>
        <v/>
      </c>
      <c r="G96" t="str" cm="1">
        <f t="array" ref="G96">IF(IFERROR(MIN(_xlfn._xlws.FILTER(Tabla1[[#Data],[Humidade]],Tabla1[[ID]:[ID]]=$A96,0)),"")=0,"",IFERROR(MIN(_xlfn._xlws.FILTER(Tabla1[[#Data],[Humidade]],Tabla1[[ID]:[ID]]=$A96,0)),""))</f>
        <v/>
      </c>
      <c r="H96" t="str" cm="1">
        <f t="array" ref="H96">IFERROR(AVERAGE(_xlfn._xlws.FILTER(Tabla1[[#Data],[AcX]],Tabla1[[ID]:[ID]]=$A96,0)),"")</f>
        <v/>
      </c>
      <c r="I96" t="str" cm="1">
        <f t="array" ref="I96">IF(IFERROR(MAX(_xlfn._xlws.FILTER(Tabla1[[#Data],[AcX]],Tabla1[[ID]:[ID]]=$A96,0)),"")=0,"",IFERROR(MAX(_xlfn._xlws.FILTER(Tabla1[[#Data],[AcX]],Tabla1[[ID]:[ID]]=$A96,0)),""))</f>
        <v/>
      </c>
      <c r="J96" t="str" cm="1">
        <f t="array" ref="J96">IF(IFERROR(MIN(_xlfn._xlws.FILTER(Tabla1[[#Data],[AcX]],Tabla1[[ID]:[ID]]=$A96,0)),"")=0,"",IFERROR(MIN(_xlfn._xlws.FILTER(Tabla1[[#Data],[AcX]],Tabla1[[ID]:[ID]]=$A96,0)),""))</f>
        <v/>
      </c>
      <c r="K96" t="str" cm="1">
        <f t="array" ref="K96">IFERROR(AVERAGE(_xlfn._xlws.FILTER(Tabla1[[#Data],[AcY]],Tabla1[[ID]:[ID]]=$A96,0)),"")</f>
        <v/>
      </c>
      <c r="L96" t="str" cm="1">
        <f t="array" ref="L96">IF(IFERROR(MAX(_xlfn._xlws.FILTER(Tabla1[[#Data],[AcY]],Tabla1[[ID]:[ID]]=$A96,0)),"")=0,"",IFERROR(MAX(_xlfn._xlws.FILTER(Tabla1[[#Data],[AcY]],Tabla1[[ID]:[ID]]=$A96,0)),""))</f>
        <v/>
      </c>
      <c r="M96" t="str" cm="1">
        <f t="array" ref="M96">IF(IFERROR(MIN(_xlfn._xlws.FILTER(Tabla1[[#Data],[AcY]],Tabla1[[ID]:[ID]]=$A96,0)),"")=0,"",IFERROR(MIN(_xlfn._xlws.FILTER(Tabla1[[#Data],[AcY]],Tabla1[[ID]:[ID]]=$A96,0)),""))</f>
        <v/>
      </c>
      <c r="N96" t="str" cm="1">
        <f t="array" ref="N96">IFERROR(AVERAGE(_xlfn._xlws.FILTER(Tabla1[[#Data],[AcZ]],Tabla1[[ID]:[ID]]=$A96,0)),"")</f>
        <v/>
      </c>
      <c r="O96" t="str" cm="1">
        <f t="array" ref="O96">IF(IFERROR(MAX(_xlfn._xlws.FILTER(Tabla1[[#Data],[AcZ]],Tabla1[[ID]:[ID]]=$A96,0)),"")=0,"",IFERROR(MAX(_xlfn._xlws.FILTER(Tabla1[[#Data],[AcZ]],Tabla1[[ID]:[ID]]=$A96,0)),""))</f>
        <v/>
      </c>
      <c r="P96" t="str" cm="1">
        <f t="array" ref="P96">IF(IFERROR(MIN(_xlfn._xlws.FILTER(Tabla1[[#Data],[AcZ]],Tabla1[[ID]:[ID]]=$A96,0)),"")=0,"",IFERROR(MIN(_xlfn._xlws.FILTER(Tabla1[[#Data],[AcZ]],Tabla1[[ID]:[ID]]=$A96,0)),""))</f>
        <v/>
      </c>
      <c r="Q96" t="str" cm="1">
        <f t="array" ref="Q96">IFERROR(AVERAGE(_xlfn._xlws.FILTER(Tabla1[[#Data],[GyX]],Tabla1[[ID]:[ID]]=$A96,0)),"")</f>
        <v/>
      </c>
      <c r="R96" t="str" cm="1">
        <f t="array" ref="R96">IF(IFERROR(MAX(_xlfn._xlws.FILTER(Tabla1[[#Data],[GyX]],Tabla1[[ID]:[ID]]=$A96,0)),"")=0,"",IFERROR(MAX(_xlfn._xlws.FILTER(Tabla1[[#Data],[GyX]],Tabla1[[ID]:[ID]]=$A96,0)),""))</f>
        <v/>
      </c>
      <c r="S96" t="str" cm="1">
        <f t="array" ref="S96">IF(IFERROR(MIN(_xlfn._xlws.FILTER(Tabla1[[#Data],[GyX]],Tabla1[[ID]:[ID]]=$A96,0)),"")=0,"",IFERROR(MIN(_xlfn._xlws.FILTER(Tabla1[[#Data],[GyX]],Tabla1[[ID]:[ID]]=$A96,0)),""))</f>
        <v/>
      </c>
      <c r="T96" t="str" cm="1">
        <f t="array" ref="T96">IFERROR(AVERAGE(_xlfn._xlws.FILTER(Tabla1[[#Data],[GyY]],Tabla1[[ID]:[ID]]=$A96,0)),"")</f>
        <v/>
      </c>
      <c r="U96" t="str" cm="1">
        <f t="array" ref="U96">IF(IFERROR(MAX(_xlfn._xlws.FILTER(Tabla1[[#Data],[GyY]],Tabla1[[ID]:[ID]]=$A96,0)),"")=0,"",IFERROR(MAX(_xlfn._xlws.FILTER(Tabla1[[#Data],[GyY]],Tabla1[[ID]:[ID]]=$A96,0)),""))</f>
        <v/>
      </c>
      <c r="V96" t="str" cm="1">
        <f t="array" ref="V96">IF(IFERROR(MIN(_xlfn._xlws.FILTER(Tabla1[[#Data],[GyY]],Tabla1[[ID]:[ID]]=$A96,0)),"")=0,"",IFERROR(MIN(_xlfn._xlws.FILTER(Tabla1[[#Data],[GyY]],Tabla1[[ID]:[ID]]=$A96,0)),""))</f>
        <v/>
      </c>
      <c r="W96" t="str" cm="1">
        <f t="array" ref="W96">IFERROR(AVERAGE(_xlfn._xlws.FILTER(Tabla1[[#Data],[GyZ]],Tabla1[[ID]:[ID]]=$A96,0)),"")</f>
        <v/>
      </c>
      <c r="X96" t="str" cm="1">
        <f t="array" ref="X96">IF(IFERROR(MAX(_xlfn._xlws.FILTER(Tabla1[[#Data],[GyZ]],Tabla1[[ID]:[ID]]=$A96,0)),"")=0,"",IFERROR(MAX(_xlfn._xlws.FILTER(Tabla1[[#Data],[GyZ]],Tabla1[[ID]:[ID]]=$A96,0)),""))</f>
        <v/>
      </c>
      <c r="Y96" t="str" cm="1">
        <f t="array" ref="Y96">IF(IFERROR(MIN(_xlfn._xlws.FILTER(Tabla1[[#Data],[GyZ]],Tabla1[[ID]:[ID]]=$A96,0)),"")=0,"",IFERROR(MIN(_xlfn._xlws.FILTER(Tabla1[[#Data],[GyZ]],Tabla1[[ID]:[ID]]=$A96,0)),""))</f>
        <v/>
      </c>
      <c r="Z96" t="str" cm="1">
        <f t="array" ref="Z96">IF(ISNUMBER(A96),IF(ISNUMBER(MATCH(1,_xlfn._xlws.FILTER(Tabla1[[#Data],[Open]],Tabla1[[ID]:[ID]]=$A96,""))),1,0),"")</f>
        <v/>
      </c>
      <c r="AA96" t="str">
        <f t="shared" si="10"/>
        <v/>
      </c>
      <c r="AB96" t="str">
        <f t="shared" si="11"/>
        <v/>
      </c>
      <c r="AC96" t="str">
        <f t="shared" si="12"/>
        <v/>
      </c>
      <c r="AD96" t="str">
        <f t="shared" si="13"/>
        <v/>
      </c>
      <c r="AE96" t="str">
        <f t="shared" si="14"/>
        <v/>
      </c>
      <c r="AF96" t="str">
        <f t="shared" si="15"/>
        <v/>
      </c>
      <c r="AG96" t="str">
        <f t="shared" si="16"/>
        <v/>
      </c>
      <c r="AH96" t="str">
        <f t="shared" si="17"/>
        <v/>
      </c>
      <c r="AI96" t="str">
        <f t="shared" si="18"/>
        <v/>
      </c>
      <c r="AJ96" t="str">
        <f t="shared" si="19"/>
        <v/>
      </c>
    </row>
    <row r="97" spans="2:36" x14ac:dyDescent="0.35">
      <c r="B97" t="str" cm="1">
        <f t="array" ref="B97">IFERROR(AVERAGE(_xlfn._xlws.FILTER(Tabla1[[#Data],[Temperatura]],Tabla1[[ID]:[ID]]=$A97,0)),"")</f>
        <v/>
      </c>
      <c r="C97" t="str" cm="1">
        <f t="array" ref="C97">IF(IFERROR(MAX(_xlfn._xlws.FILTER(Tabla1[[#Data],[Temperatura]],Tabla1[[ID]:[ID]]=$A97,0)),"")=0,"",IFERROR(MAX(_xlfn._xlws.FILTER(Tabla1[[#Data],[Temperatura]],Tabla1[[ID]:[ID]]=$A97,0)),""))</f>
        <v/>
      </c>
      <c r="D97" t="str" cm="1">
        <f t="array" ref="D97">IF(IFERROR(MIN(_xlfn._xlws.FILTER(Tabla1[[#Data],[Temperatura]],Tabla1[[ID]:[ID]]=$A97,0)),"")=0,"",IFERROR(MIN(_xlfn._xlws.FILTER(Tabla1[[#Data],[Temperatura]],Tabla1[[ID]:[ID]]=$A97,0)),""))</f>
        <v/>
      </c>
      <c r="E97" t="str" cm="1">
        <f t="array" ref="E97">IFERROR(AVERAGE(_xlfn._xlws.FILTER(Tabla1[[#Data],[Humidade]],Tabla1[[ID]:[ID]]=$A97,0)),"")</f>
        <v/>
      </c>
      <c r="F97" t="str" cm="1">
        <f t="array" ref="F97">IF(IFERROR(MAX(_xlfn._xlws.FILTER(Tabla1[[#Data],[Humidade]],Tabla1[[ID]:[ID]]=$A97,0)),"")=0,"",IFERROR(MAX(_xlfn._xlws.FILTER(Tabla1[[#Data],[Humidade]],Tabla1[[ID]:[ID]]=$A97,0)),""))</f>
        <v/>
      </c>
      <c r="G97" t="str" cm="1">
        <f t="array" ref="G97">IF(IFERROR(MIN(_xlfn._xlws.FILTER(Tabla1[[#Data],[Humidade]],Tabla1[[ID]:[ID]]=$A97,0)),"")=0,"",IFERROR(MIN(_xlfn._xlws.FILTER(Tabla1[[#Data],[Humidade]],Tabla1[[ID]:[ID]]=$A97,0)),""))</f>
        <v/>
      </c>
      <c r="H97" t="str" cm="1">
        <f t="array" ref="H97">IFERROR(AVERAGE(_xlfn._xlws.FILTER(Tabla1[[#Data],[AcX]],Tabla1[[ID]:[ID]]=$A97,0)),"")</f>
        <v/>
      </c>
      <c r="I97" t="str" cm="1">
        <f t="array" ref="I97">IF(IFERROR(MAX(_xlfn._xlws.FILTER(Tabla1[[#Data],[AcX]],Tabla1[[ID]:[ID]]=$A97,0)),"")=0,"",IFERROR(MAX(_xlfn._xlws.FILTER(Tabla1[[#Data],[AcX]],Tabla1[[ID]:[ID]]=$A97,0)),""))</f>
        <v/>
      </c>
      <c r="J97" t="str" cm="1">
        <f t="array" ref="J97">IF(IFERROR(MIN(_xlfn._xlws.FILTER(Tabla1[[#Data],[AcX]],Tabla1[[ID]:[ID]]=$A97,0)),"")=0,"",IFERROR(MIN(_xlfn._xlws.FILTER(Tabla1[[#Data],[AcX]],Tabla1[[ID]:[ID]]=$A97,0)),""))</f>
        <v/>
      </c>
      <c r="K97" t="str" cm="1">
        <f t="array" ref="K97">IFERROR(AVERAGE(_xlfn._xlws.FILTER(Tabla1[[#Data],[AcY]],Tabla1[[ID]:[ID]]=$A97,0)),"")</f>
        <v/>
      </c>
      <c r="L97" t="str" cm="1">
        <f t="array" ref="L97">IF(IFERROR(MAX(_xlfn._xlws.FILTER(Tabla1[[#Data],[AcY]],Tabla1[[ID]:[ID]]=$A97,0)),"")=0,"",IFERROR(MAX(_xlfn._xlws.FILTER(Tabla1[[#Data],[AcY]],Tabla1[[ID]:[ID]]=$A97,0)),""))</f>
        <v/>
      </c>
      <c r="M97" t="str" cm="1">
        <f t="array" ref="M97">IF(IFERROR(MIN(_xlfn._xlws.FILTER(Tabla1[[#Data],[AcY]],Tabla1[[ID]:[ID]]=$A97,0)),"")=0,"",IFERROR(MIN(_xlfn._xlws.FILTER(Tabla1[[#Data],[AcY]],Tabla1[[ID]:[ID]]=$A97,0)),""))</f>
        <v/>
      </c>
      <c r="N97" t="str" cm="1">
        <f t="array" ref="N97">IFERROR(AVERAGE(_xlfn._xlws.FILTER(Tabla1[[#Data],[AcZ]],Tabla1[[ID]:[ID]]=$A97,0)),"")</f>
        <v/>
      </c>
      <c r="O97" t="str" cm="1">
        <f t="array" ref="O97">IF(IFERROR(MAX(_xlfn._xlws.FILTER(Tabla1[[#Data],[AcZ]],Tabla1[[ID]:[ID]]=$A97,0)),"")=0,"",IFERROR(MAX(_xlfn._xlws.FILTER(Tabla1[[#Data],[AcZ]],Tabla1[[ID]:[ID]]=$A97,0)),""))</f>
        <v/>
      </c>
      <c r="P97" t="str" cm="1">
        <f t="array" ref="P97">IF(IFERROR(MIN(_xlfn._xlws.FILTER(Tabla1[[#Data],[AcZ]],Tabla1[[ID]:[ID]]=$A97,0)),"")=0,"",IFERROR(MIN(_xlfn._xlws.FILTER(Tabla1[[#Data],[AcZ]],Tabla1[[ID]:[ID]]=$A97,0)),""))</f>
        <v/>
      </c>
      <c r="Q97" t="str" cm="1">
        <f t="array" ref="Q97">IFERROR(AVERAGE(_xlfn._xlws.FILTER(Tabla1[[#Data],[GyX]],Tabla1[[ID]:[ID]]=$A97,0)),"")</f>
        <v/>
      </c>
      <c r="R97" t="str" cm="1">
        <f t="array" ref="R97">IF(IFERROR(MAX(_xlfn._xlws.FILTER(Tabla1[[#Data],[GyX]],Tabla1[[ID]:[ID]]=$A97,0)),"")=0,"",IFERROR(MAX(_xlfn._xlws.FILTER(Tabla1[[#Data],[GyX]],Tabla1[[ID]:[ID]]=$A97,0)),""))</f>
        <v/>
      </c>
      <c r="S97" t="str" cm="1">
        <f t="array" ref="S97">IF(IFERROR(MIN(_xlfn._xlws.FILTER(Tabla1[[#Data],[GyX]],Tabla1[[ID]:[ID]]=$A97,0)),"")=0,"",IFERROR(MIN(_xlfn._xlws.FILTER(Tabla1[[#Data],[GyX]],Tabla1[[ID]:[ID]]=$A97,0)),""))</f>
        <v/>
      </c>
      <c r="T97" t="str" cm="1">
        <f t="array" ref="T97">IFERROR(AVERAGE(_xlfn._xlws.FILTER(Tabla1[[#Data],[GyY]],Tabla1[[ID]:[ID]]=$A97,0)),"")</f>
        <v/>
      </c>
      <c r="U97" t="str" cm="1">
        <f t="array" ref="U97">IF(IFERROR(MAX(_xlfn._xlws.FILTER(Tabla1[[#Data],[GyY]],Tabla1[[ID]:[ID]]=$A97,0)),"")=0,"",IFERROR(MAX(_xlfn._xlws.FILTER(Tabla1[[#Data],[GyY]],Tabla1[[ID]:[ID]]=$A97,0)),""))</f>
        <v/>
      </c>
      <c r="V97" t="str" cm="1">
        <f t="array" ref="V97">IF(IFERROR(MIN(_xlfn._xlws.FILTER(Tabla1[[#Data],[GyY]],Tabla1[[ID]:[ID]]=$A97,0)),"")=0,"",IFERROR(MIN(_xlfn._xlws.FILTER(Tabla1[[#Data],[GyY]],Tabla1[[ID]:[ID]]=$A97,0)),""))</f>
        <v/>
      </c>
      <c r="W97" t="str" cm="1">
        <f t="array" ref="W97">IFERROR(AVERAGE(_xlfn._xlws.FILTER(Tabla1[[#Data],[GyZ]],Tabla1[[ID]:[ID]]=$A97,0)),"")</f>
        <v/>
      </c>
      <c r="X97" t="str" cm="1">
        <f t="array" ref="X97">IF(IFERROR(MAX(_xlfn._xlws.FILTER(Tabla1[[#Data],[GyZ]],Tabla1[[ID]:[ID]]=$A97,0)),"")=0,"",IFERROR(MAX(_xlfn._xlws.FILTER(Tabla1[[#Data],[GyZ]],Tabla1[[ID]:[ID]]=$A97,0)),""))</f>
        <v/>
      </c>
      <c r="Y97" t="str" cm="1">
        <f t="array" ref="Y97">IF(IFERROR(MIN(_xlfn._xlws.FILTER(Tabla1[[#Data],[GyZ]],Tabla1[[ID]:[ID]]=$A97,0)),"")=0,"",IFERROR(MIN(_xlfn._xlws.FILTER(Tabla1[[#Data],[GyZ]],Tabla1[[ID]:[ID]]=$A97,0)),""))</f>
        <v/>
      </c>
      <c r="Z97" t="str" cm="1">
        <f t="array" ref="Z97">IF(ISNUMBER(A97),IF(ISNUMBER(MATCH(1,_xlfn._xlws.FILTER(Tabla1[[#Data],[Open]],Tabla1[[ID]:[ID]]=$A97,""))),1,0),"")</f>
        <v/>
      </c>
      <c r="AA97" t="str">
        <f t="shared" si="10"/>
        <v/>
      </c>
      <c r="AB97" t="str">
        <f t="shared" si="11"/>
        <v/>
      </c>
      <c r="AC97" t="str">
        <f t="shared" si="12"/>
        <v/>
      </c>
      <c r="AD97" t="str">
        <f t="shared" si="13"/>
        <v/>
      </c>
      <c r="AE97" t="str">
        <f t="shared" si="14"/>
        <v/>
      </c>
      <c r="AF97" t="str">
        <f t="shared" si="15"/>
        <v/>
      </c>
      <c r="AG97" t="str">
        <f t="shared" si="16"/>
        <v/>
      </c>
      <c r="AH97" t="str">
        <f t="shared" si="17"/>
        <v/>
      </c>
      <c r="AI97" t="str">
        <f t="shared" si="18"/>
        <v/>
      </c>
      <c r="AJ97" t="str">
        <f t="shared" si="19"/>
        <v/>
      </c>
    </row>
    <row r="98" spans="2:36" x14ac:dyDescent="0.35">
      <c r="B98" t="str" cm="1">
        <f t="array" ref="B98">IFERROR(AVERAGE(_xlfn._xlws.FILTER(Tabla1[[#Data],[Temperatura]],Tabla1[[ID]:[ID]]=$A98,0)),"")</f>
        <v/>
      </c>
      <c r="C98" t="str" cm="1">
        <f t="array" ref="C98">IF(IFERROR(MAX(_xlfn._xlws.FILTER(Tabla1[[#Data],[Temperatura]],Tabla1[[ID]:[ID]]=$A98,0)),"")=0,"",IFERROR(MAX(_xlfn._xlws.FILTER(Tabla1[[#Data],[Temperatura]],Tabla1[[ID]:[ID]]=$A98,0)),""))</f>
        <v/>
      </c>
      <c r="D98" t="str" cm="1">
        <f t="array" ref="D98">IF(IFERROR(MIN(_xlfn._xlws.FILTER(Tabla1[[#Data],[Temperatura]],Tabla1[[ID]:[ID]]=$A98,0)),"")=0,"",IFERROR(MIN(_xlfn._xlws.FILTER(Tabla1[[#Data],[Temperatura]],Tabla1[[ID]:[ID]]=$A98,0)),""))</f>
        <v/>
      </c>
      <c r="E98" t="str" cm="1">
        <f t="array" ref="E98">IFERROR(AVERAGE(_xlfn._xlws.FILTER(Tabla1[[#Data],[Humidade]],Tabla1[[ID]:[ID]]=$A98,0)),"")</f>
        <v/>
      </c>
      <c r="F98" t="str" cm="1">
        <f t="array" ref="F98">IF(IFERROR(MAX(_xlfn._xlws.FILTER(Tabla1[[#Data],[Humidade]],Tabla1[[ID]:[ID]]=$A98,0)),"")=0,"",IFERROR(MAX(_xlfn._xlws.FILTER(Tabla1[[#Data],[Humidade]],Tabla1[[ID]:[ID]]=$A98,0)),""))</f>
        <v/>
      </c>
      <c r="G98" t="str" cm="1">
        <f t="array" ref="G98">IF(IFERROR(MIN(_xlfn._xlws.FILTER(Tabla1[[#Data],[Humidade]],Tabla1[[ID]:[ID]]=$A98,0)),"")=0,"",IFERROR(MIN(_xlfn._xlws.FILTER(Tabla1[[#Data],[Humidade]],Tabla1[[ID]:[ID]]=$A98,0)),""))</f>
        <v/>
      </c>
      <c r="H98" t="str" cm="1">
        <f t="array" ref="H98">IFERROR(AVERAGE(_xlfn._xlws.FILTER(Tabla1[[#Data],[AcX]],Tabla1[[ID]:[ID]]=$A98,0)),"")</f>
        <v/>
      </c>
      <c r="I98" t="str" cm="1">
        <f t="array" ref="I98">IF(IFERROR(MAX(_xlfn._xlws.FILTER(Tabla1[[#Data],[AcX]],Tabla1[[ID]:[ID]]=$A98,0)),"")=0,"",IFERROR(MAX(_xlfn._xlws.FILTER(Tabla1[[#Data],[AcX]],Tabla1[[ID]:[ID]]=$A98,0)),""))</f>
        <v/>
      </c>
      <c r="J98" t="str" cm="1">
        <f t="array" ref="J98">IF(IFERROR(MIN(_xlfn._xlws.FILTER(Tabla1[[#Data],[AcX]],Tabla1[[ID]:[ID]]=$A98,0)),"")=0,"",IFERROR(MIN(_xlfn._xlws.FILTER(Tabla1[[#Data],[AcX]],Tabla1[[ID]:[ID]]=$A98,0)),""))</f>
        <v/>
      </c>
      <c r="K98" t="str" cm="1">
        <f t="array" ref="K98">IFERROR(AVERAGE(_xlfn._xlws.FILTER(Tabla1[[#Data],[AcY]],Tabla1[[ID]:[ID]]=$A98,0)),"")</f>
        <v/>
      </c>
      <c r="L98" t="str" cm="1">
        <f t="array" ref="L98">IF(IFERROR(MAX(_xlfn._xlws.FILTER(Tabla1[[#Data],[AcY]],Tabla1[[ID]:[ID]]=$A98,0)),"")=0,"",IFERROR(MAX(_xlfn._xlws.FILTER(Tabla1[[#Data],[AcY]],Tabla1[[ID]:[ID]]=$A98,0)),""))</f>
        <v/>
      </c>
      <c r="M98" t="str" cm="1">
        <f t="array" ref="M98">IF(IFERROR(MIN(_xlfn._xlws.FILTER(Tabla1[[#Data],[AcY]],Tabla1[[ID]:[ID]]=$A98,0)),"")=0,"",IFERROR(MIN(_xlfn._xlws.FILTER(Tabla1[[#Data],[AcY]],Tabla1[[ID]:[ID]]=$A98,0)),""))</f>
        <v/>
      </c>
      <c r="N98" t="str" cm="1">
        <f t="array" ref="N98">IFERROR(AVERAGE(_xlfn._xlws.FILTER(Tabla1[[#Data],[AcZ]],Tabla1[[ID]:[ID]]=$A98,0)),"")</f>
        <v/>
      </c>
      <c r="O98" t="str" cm="1">
        <f t="array" ref="O98">IF(IFERROR(MAX(_xlfn._xlws.FILTER(Tabla1[[#Data],[AcZ]],Tabla1[[ID]:[ID]]=$A98,0)),"")=0,"",IFERROR(MAX(_xlfn._xlws.FILTER(Tabla1[[#Data],[AcZ]],Tabla1[[ID]:[ID]]=$A98,0)),""))</f>
        <v/>
      </c>
      <c r="P98" t="str" cm="1">
        <f t="array" ref="P98">IF(IFERROR(MIN(_xlfn._xlws.FILTER(Tabla1[[#Data],[AcZ]],Tabla1[[ID]:[ID]]=$A98,0)),"")=0,"",IFERROR(MIN(_xlfn._xlws.FILTER(Tabla1[[#Data],[AcZ]],Tabla1[[ID]:[ID]]=$A98,0)),""))</f>
        <v/>
      </c>
      <c r="Q98" t="str" cm="1">
        <f t="array" ref="Q98">IFERROR(AVERAGE(_xlfn._xlws.FILTER(Tabla1[[#Data],[GyX]],Tabla1[[ID]:[ID]]=$A98,0)),"")</f>
        <v/>
      </c>
      <c r="R98" t="str" cm="1">
        <f t="array" ref="R98">IF(IFERROR(MAX(_xlfn._xlws.FILTER(Tabla1[[#Data],[GyX]],Tabla1[[ID]:[ID]]=$A98,0)),"")=0,"",IFERROR(MAX(_xlfn._xlws.FILTER(Tabla1[[#Data],[GyX]],Tabla1[[ID]:[ID]]=$A98,0)),""))</f>
        <v/>
      </c>
      <c r="S98" t="str" cm="1">
        <f t="array" ref="S98">IF(IFERROR(MIN(_xlfn._xlws.FILTER(Tabla1[[#Data],[GyX]],Tabla1[[ID]:[ID]]=$A98,0)),"")=0,"",IFERROR(MIN(_xlfn._xlws.FILTER(Tabla1[[#Data],[GyX]],Tabla1[[ID]:[ID]]=$A98,0)),""))</f>
        <v/>
      </c>
      <c r="T98" t="str" cm="1">
        <f t="array" ref="T98">IFERROR(AVERAGE(_xlfn._xlws.FILTER(Tabla1[[#Data],[GyY]],Tabla1[[ID]:[ID]]=$A98,0)),"")</f>
        <v/>
      </c>
      <c r="U98" t="str" cm="1">
        <f t="array" ref="U98">IF(IFERROR(MAX(_xlfn._xlws.FILTER(Tabla1[[#Data],[GyY]],Tabla1[[ID]:[ID]]=$A98,0)),"")=0,"",IFERROR(MAX(_xlfn._xlws.FILTER(Tabla1[[#Data],[GyY]],Tabla1[[ID]:[ID]]=$A98,0)),""))</f>
        <v/>
      </c>
      <c r="V98" t="str" cm="1">
        <f t="array" ref="V98">IF(IFERROR(MIN(_xlfn._xlws.FILTER(Tabla1[[#Data],[GyY]],Tabla1[[ID]:[ID]]=$A98,0)),"")=0,"",IFERROR(MIN(_xlfn._xlws.FILTER(Tabla1[[#Data],[GyY]],Tabla1[[ID]:[ID]]=$A98,0)),""))</f>
        <v/>
      </c>
      <c r="W98" t="str" cm="1">
        <f t="array" ref="W98">IFERROR(AVERAGE(_xlfn._xlws.FILTER(Tabla1[[#Data],[GyZ]],Tabla1[[ID]:[ID]]=$A98,0)),"")</f>
        <v/>
      </c>
      <c r="X98" t="str" cm="1">
        <f t="array" ref="X98">IF(IFERROR(MAX(_xlfn._xlws.FILTER(Tabla1[[#Data],[GyZ]],Tabla1[[ID]:[ID]]=$A98,0)),"")=0,"",IFERROR(MAX(_xlfn._xlws.FILTER(Tabla1[[#Data],[GyZ]],Tabla1[[ID]:[ID]]=$A98,0)),""))</f>
        <v/>
      </c>
      <c r="Y98" t="str" cm="1">
        <f t="array" ref="Y98">IF(IFERROR(MIN(_xlfn._xlws.FILTER(Tabla1[[#Data],[GyZ]],Tabla1[[ID]:[ID]]=$A98,0)),"")=0,"",IFERROR(MIN(_xlfn._xlws.FILTER(Tabla1[[#Data],[GyZ]],Tabla1[[ID]:[ID]]=$A98,0)),""))</f>
        <v/>
      </c>
      <c r="Z98" t="str" cm="1">
        <f t="array" ref="Z98">IF(ISNUMBER(A98),IF(ISNUMBER(MATCH(1,_xlfn._xlws.FILTER(Tabla1[[#Data],[Open]],Tabla1[[ID]:[ID]]=$A98,""))),1,0),"")</f>
        <v/>
      </c>
      <c r="AA98" t="str">
        <f t="shared" si="10"/>
        <v/>
      </c>
      <c r="AB98" t="str">
        <f t="shared" si="11"/>
        <v/>
      </c>
      <c r="AC98" t="str">
        <f t="shared" si="12"/>
        <v/>
      </c>
      <c r="AD98" t="str">
        <f t="shared" si="13"/>
        <v/>
      </c>
      <c r="AE98" t="str">
        <f t="shared" si="14"/>
        <v/>
      </c>
      <c r="AF98" t="str">
        <f t="shared" si="15"/>
        <v/>
      </c>
      <c r="AG98" t="str">
        <f t="shared" si="16"/>
        <v/>
      </c>
      <c r="AH98" t="str">
        <f t="shared" si="17"/>
        <v/>
      </c>
      <c r="AI98" t="str">
        <f t="shared" si="18"/>
        <v/>
      </c>
      <c r="AJ98" t="str">
        <f t="shared" si="19"/>
        <v/>
      </c>
    </row>
    <row r="99" spans="2:36" x14ac:dyDescent="0.35">
      <c r="B99" t="str" cm="1">
        <f t="array" ref="B99">IFERROR(AVERAGE(_xlfn._xlws.FILTER(Tabla1[[#Data],[Temperatura]],Tabla1[[ID]:[ID]]=$A99,0)),"")</f>
        <v/>
      </c>
      <c r="C99" t="str" cm="1">
        <f t="array" ref="C99">IF(IFERROR(MAX(_xlfn._xlws.FILTER(Tabla1[[#Data],[Temperatura]],Tabla1[[ID]:[ID]]=$A99,0)),"")=0,"",IFERROR(MAX(_xlfn._xlws.FILTER(Tabla1[[#Data],[Temperatura]],Tabla1[[ID]:[ID]]=$A99,0)),""))</f>
        <v/>
      </c>
      <c r="D99" t="str" cm="1">
        <f t="array" ref="D99">IF(IFERROR(MIN(_xlfn._xlws.FILTER(Tabla1[[#Data],[Temperatura]],Tabla1[[ID]:[ID]]=$A99,0)),"")=0,"",IFERROR(MIN(_xlfn._xlws.FILTER(Tabla1[[#Data],[Temperatura]],Tabla1[[ID]:[ID]]=$A99,0)),""))</f>
        <v/>
      </c>
      <c r="E99" t="str" cm="1">
        <f t="array" ref="E99">IFERROR(AVERAGE(_xlfn._xlws.FILTER(Tabla1[[#Data],[Humidade]],Tabla1[[ID]:[ID]]=$A99,0)),"")</f>
        <v/>
      </c>
      <c r="F99" t="str" cm="1">
        <f t="array" ref="F99">IF(IFERROR(MAX(_xlfn._xlws.FILTER(Tabla1[[#Data],[Humidade]],Tabla1[[ID]:[ID]]=$A99,0)),"")=0,"",IFERROR(MAX(_xlfn._xlws.FILTER(Tabla1[[#Data],[Humidade]],Tabla1[[ID]:[ID]]=$A99,0)),""))</f>
        <v/>
      </c>
      <c r="G99" t="str" cm="1">
        <f t="array" ref="G99">IF(IFERROR(MIN(_xlfn._xlws.FILTER(Tabla1[[#Data],[Humidade]],Tabla1[[ID]:[ID]]=$A99,0)),"")=0,"",IFERROR(MIN(_xlfn._xlws.FILTER(Tabla1[[#Data],[Humidade]],Tabla1[[ID]:[ID]]=$A99,0)),""))</f>
        <v/>
      </c>
      <c r="H99" t="str" cm="1">
        <f t="array" ref="H99">IFERROR(AVERAGE(_xlfn._xlws.FILTER(Tabla1[[#Data],[AcX]],Tabla1[[ID]:[ID]]=$A99,0)),"")</f>
        <v/>
      </c>
      <c r="I99" t="str" cm="1">
        <f t="array" ref="I99">IF(IFERROR(MAX(_xlfn._xlws.FILTER(Tabla1[[#Data],[AcX]],Tabla1[[ID]:[ID]]=$A99,0)),"")=0,"",IFERROR(MAX(_xlfn._xlws.FILTER(Tabla1[[#Data],[AcX]],Tabla1[[ID]:[ID]]=$A99,0)),""))</f>
        <v/>
      </c>
      <c r="J99" t="str" cm="1">
        <f t="array" ref="J99">IF(IFERROR(MIN(_xlfn._xlws.FILTER(Tabla1[[#Data],[AcX]],Tabla1[[ID]:[ID]]=$A99,0)),"")=0,"",IFERROR(MIN(_xlfn._xlws.FILTER(Tabla1[[#Data],[AcX]],Tabla1[[ID]:[ID]]=$A99,0)),""))</f>
        <v/>
      </c>
      <c r="K99" t="str" cm="1">
        <f t="array" ref="K99">IFERROR(AVERAGE(_xlfn._xlws.FILTER(Tabla1[[#Data],[AcY]],Tabla1[[ID]:[ID]]=$A99,0)),"")</f>
        <v/>
      </c>
      <c r="L99" t="str" cm="1">
        <f t="array" ref="L99">IF(IFERROR(MAX(_xlfn._xlws.FILTER(Tabla1[[#Data],[AcY]],Tabla1[[ID]:[ID]]=$A99,0)),"")=0,"",IFERROR(MAX(_xlfn._xlws.FILTER(Tabla1[[#Data],[AcY]],Tabla1[[ID]:[ID]]=$A99,0)),""))</f>
        <v/>
      </c>
      <c r="M99" t="str" cm="1">
        <f t="array" ref="M99">IF(IFERROR(MIN(_xlfn._xlws.FILTER(Tabla1[[#Data],[AcY]],Tabla1[[ID]:[ID]]=$A99,0)),"")=0,"",IFERROR(MIN(_xlfn._xlws.FILTER(Tabla1[[#Data],[AcY]],Tabla1[[ID]:[ID]]=$A99,0)),""))</f>
        <v/>
      </c>
      <c r="N99" t="str" cm="1">
        <f t="array" ref="N99">IFERROR(AVERAGE(_xlfn._xlws.FILTER(Tabla1[[#Data],[AcZ]],Tabla1[[ID]:[ID]]=$A99,0)),"")</f>
        <v/>
      </c>
      <c r="O99" t="str" cm="1">
        <f t="array" ref="O99">IF(IFERROR(MAX(_xlfn._xlws.FILTER(Tabla1[[#Data],[AcZ]],Tabla1[[ID]:[ID]]=$A99,0)),"")=0,"",IFERROR(MAX(_xlfn._xlws.FILTER(Tabla1[[#Data],[AcZ]],Tabla1[[ID]:[ID]]=$A99,0)),""))</f>
        <v/>
      </c>
      <c r="P99" t="str" cm="1">
        <f t="array" ref="P99">IF(IFERROR(MIN(_xlfn._xlws.FILTER(Tabla1[[#Data],[AcZ]],Tabla1[[ID]:[ID]]=$A99,0)),"")=0,"",IFERROR(MIN(_xlfn._xlws.FILTER(Tabla1[[#Data],[AcZ]],Tabla1[[ID]:[ID]]=$A99,0)),""))</f>
        <v/>
      </c>
      <c r="Q99" t="str" cm="1">
        <f t="array" ref="Q99">IFERROR(AVERAGE(_xlfn._xlws.FILTER(Tabla1[[#Data],[GyX]],Tabla1[[ID]:[ID]]=$A99,0)),"")</f>
        <v/>
      </c>
      <c r="R99" t="str" cm="1">
        <f t="array" ref="R99">IF(IFERROR(MAX(_xlfn._xlws.FILTER(Tabla1[[#Data],[GyX]],Tabla1[[ID]:[ID]]=$A99,0)),"")=0,"",IFERROR(MAX(_xlfn._xlws.FILTER(Tabla1[[#Data],[GyX]],Tabla1[[ID]:[ID]]=$A99,0)),""))</f>
        <v/>
      </c>
      <c r="S99" t="str" cm="1">
        <f t="array" ref="S99">IF(IFERROR(MIN(_xlfn._xlws.FILTER(Tabla1[[#Data],[GyX]],Tabla1[[ID]:[ID]]=$A99,0)),"")=0,"",IFERROR(MIN(_xlfn._xlws.FILTER(Tabla1[[#Data],[GyX]],Tabla1[[ID]:[ID]]=$A99,0)),""))</f>
        <v/>
      </c>
      <c r="T99" t="str" cm="1">
        <f t="array" ref="T99">IFERROR(AVERAGE(_xlfn._xlws.FILTER(Tabla1[[#Data],[GyY]],Tabla1[[ID]:[ID]]=$A99,0)),"")</f>
        <v/>
      </c>
      <c r="U99" t="str" cm="1">
        <f t="array" ref="U99">IF(IFERROR(MAX(_xlfn._xlws.FILTER(Tabla1[[#Data],[GyY]],Tabla1[[ID]:[ID]]=$A99,0)),"")=0,"",IFERROR(MAX(_xlfn._xlws.FILTER(Tabla1[[#Data],[GyY]],Tabla1[[ID]:[ID]]=$A99,0)),""))</f>
        <v/>
      </c>
      <c r="V99" t="str" cm="1">
        <f t="array" ref="V99">IF(IFERROR(MIN(_xlfn._xlws.FILTER(Tabla1[[#Data],[GyY]],Tabla1[[ID]:[ID]]=$A99,0)),"")=0,"",IFERROR(MIN(_xlfn._xlws.FILTER(Tabla1[[#Data],[GyY]],Tabla1[[ID]:[ID]]=$A99,0)),""))</f>
        <v/>
      </c>
      <c r="W99" t="str" cm="1">
        <f t="array" ref="W99">IFERROR(AVERAGE(_xlfn._xlws.FILTER(Tabla1[[#Data],[GyZ]],Tabla1[[ID]:[ID]]=$A99,0)),"")</f>
        <v/>
      </c>
      <c r="X99" t="str" cm="1">
        <f t="array" ref="X99">IF(IFERROR(MAX(_xlfn._xlws.FILTER(Tabla1[[#Data],[GyZ]],Tabla1[[ID]:[ID]]=$A99,0)),"")=0,"",IFERROR(MAX(_xlfn._xlws.FILTER(Tabla1[[#Data],[GyZ]],Tabla1[[ID]:[ID]]=$A99,0)),""))</f>
        <v/>
      </c>
      <c r="Y99" t="str" cm="1">
        <f t="array" ref="Y99">IF(IFERROR(MIN(_xlfn._xlws.FILTER(Tabla1[[#Data],[GyZ]],Tabla1[[ID]:[ID]]=$A99,0)),"")=0,"",IFERROR(MIN(_xlfn._xlws.FILTER(Tabla1[[#Data],[GyZ]],Tabla1[[ID]:[ID]]=$A99,0)),""))</f>
        <v/>
      </c>
      <c r="Z99" t="str" cm="1">
        <f t="array" ref="Z99">IF(ISNUMBER(A99),IF(ISNUMBER(MATCH(1,_xlfn._xlws.FILTER(Tabla1[[#Data],[Open]],Tabla1[[ID]:[ID]]=$A99,""))),1,0),"")</f>
        <v/>
      </c>
      <c r="AA99" t="str">
        <f t="shared" si="10"/>
        <v/>
      </c>
      <c r="AB99" t="str">
        <f t="shared" si="11"/>
        <v/>
      </c>
      <c r="AC99" t="str">
        <f t="shared" si="12"/>
        <v/>
      </c>
      <c r="AD99" t="str">
        <f t="shared" si="13"/>
        <v/>
      </c>
      <c r="AE99" t="str">
        <f t="shared" si="14"/>
        <v/>
      </c>
      <c r="AF99" t="str">
        <f t="shared" si="15"/>
        <v/>
      </c>
      <c r="AG99" t="str">
        <f t="shared" si="16"/>
        <v/>
      </c>
      <c r="AH99" t="str">
        <f t="shared" si="17"/>
        <v/>
      </c>
      <c r="AI99" t="str">
        <f t="shared" si="18"/>
        <v/>
      </c>
      <c r="AJ99" t="str">
        <f t="shared" si="19"/>
        <v/>
      </c>
    </row>
    <row r="100" spans="2:36" x14ac:dyDescent="0.35">
      <c r="B100" t="str" cm="1">
        <f t="array" ref="B100">IFERROR(AVERAGE(_xlfn._xlws.FILTER(Tabla1[[#Data],[Temperatura]],Tabla1[[ID]:[ID]]=$A100,0)),"")</f>
        <v/>
      </c>
      <c r="C100" t="str" cm="1">
        <f t="array" ref="C100">IF(IFERROR(MAX(_xlfn._xlws.FILTER(Tabla1[[#Data],[Temperatura]],Tabla1[[ID]:[ID]]=$A100,0)),"")=0,"",IFERROR(MAX(_xlfn._xlws.FILTER(Tabla1[[#Data],[Temperatura]],Tabla1[[ID]:[ID]]=$A100,0)),""))</f>
        <v/>
      </c>
      <c r="D100" t="str" cm="1">
        <f t="array" ref="D100">IF(IFERROR(MIN(_xlfn._xlws.FILTER(Tabla1[[#Data],[Temperatura]],Tabla1[[ID]:[ID]]=$A100,0)),"")=0,"",IFERROR(MIN(_xlfn._xlws.FILTER(Tabla1[[#Data],[Temperatura]],Tabla1[[ID]:[ID]]=$A100,0)),""))</f>
        <v/>
      </c>
      <c r="E100" t="str" cm="1">
        <f t="array" ref="E100">IFERROR(AVERAGE(_xlfn._xlws.FILTER(Tabla1[[#Data],[Humidade]],Tabla1[[ID]:[ID]]=$A100,0)),"")</f>
        <v/>
      </c>
      <c r="F100" t="str" cm="1">
        <f t="array" ref="F100">IF(IFERROR(MAX(_xlfn._xlws.FILTER(Tabla1[[#Data],[Humidade]],Tabla1[[ID]:[ID]]=$A100,0)),"")=0,"",IFERROR(MAX(_xlfn._xlws.FILTER(Tabla1[[#Data],[Humidade]],Tabla1[[ID]:[ID]]=$A100,0)),""))</f>
        <v/>
      </c>
      <c r="G100" t="str" cm="1">
        <f t="array" ref="G100">IF(IFERROR(MIN(_xlfn._xlws.FILTER(Tabla1[[#Data],[Humidade]],Tabla1[[ID]:[ID]]=$A100,0)),"")=0,"",IFERROR(MIN(_xlfn._xlws.FILTER(Tabla1[[#Data],[Humidade]],Tabla1[[ID]:[ID]]=$A100,0)),""))</f>
        <v/>
      </c>
      <c r="H100" t="str" cm="1">
        <f t="array" ref="H100">IFERROR(AVERAGE(_xlfn._xlws.FILTER(Tabla1[[#Data],[AcX]],Tabla1[[ID]:[ID]]=$A100,0)),"")</f>
        <v/>
      </c>
      <c r="I100" t="str" cm="1">
        <f t="array" ref="I100">IF(IFERROR(MAX(_xlfn._xlws.FILTER(Tabla1[[#Data],[AcX]],Tabla1[[ID]:[ID]]=$A100,0)),"")=0,"",IFERROR(MAX(_xlfn._xlws.FILTER(Tabla1[[#Data],[AcX]],Tabla1[[ID]:[ID]]=$A100,0)),""))</f>
        <v/>
      </c>
      <c r="J100" t="str" cm="1">
        <f t="array" ref="J100">IF(IFERROR(MIN(_xlfn._xlws.FILTER(Tabla1[[#Data],[AcX]],Tabla1[[ID]:[ID]]=$A100,0)),"")=0,"",IFERROR(MIN(_xlfn._xlws.FILTER(Tabla1[[#Data],[AcX]],Tabla1[[ID]:[ID]]=$A100,0)),""))</f>
        <v/>
      </c>
      <c r="K100" t="str" cm="1">
        <f t="array" ref="K100">IFERROR(AVERAGE(_xlfn._xlws.FILTER(Tabla1[[#Data],[AcY]],Tabla1[[ID]:[ID]]=$A100,0)),"")</f>
        <v/>
      </c>
      <c r="L100" t="str" cm="1">
        <f t="array" ref="L100">IF(IFERROR(MAX(_xlfn._xlws.FILTER(Tabla1[[#Data],[AcY]],Tabla1[[ID]:[ID]]=$A100,0)),"")=0,"",IFERROR(MAX(_xlfn._xlws.FILTER(Tabla1[[#Data],[AcY]],Tabla1[[ID]:[ID]]=$A100,0)),""))</f>
        <v/>
      </c>
      <c r="M100" t="str" cm="1">
        <f t="array" ref="M100">IF(IFERROR(MIN(_xlfn._xlws.FILTER(Tabla1[[#Data],[AcY]],Tabla1[[ID]:[ID]]=$A100,0)),"")=0,"",IFERROR(MIN(_xlfn._xlws.FILTER(Tabla1[[#Data],[AcY]],Tabla1[[ID]:[ID]]=$A100,0)),""))</f>
        <v/>
      </c>
      <c r="N100" t="str" cm="1">
        <f t="array" ref="N100">IFERROR(AVERAGE(_xlfn._xlws.FILTER(Tabla1[[#Data],[AcZ]],Tabla1[[ID]:[ID]]=$A100,0)),"")</f>
        <v/>
      </c>
      <c r="O100" t="str" cm="1">
        <f t="array" ref="O100">IF(IFERROR(MAX(_xlfn._xlws.FILTER(Tabla1[[#Data],[AcZ]],Tabla1[[ID]:[ID]]=$A100,0)),"")=0,"",IFERROR(MAX(_xlfn._xlws.FILTER(Tabla1[[#Data],[AcZ]],Tabla1[[ID]:[ID]]=$A100,0)),""))</f>
        <v/>
      </c>
      <c r="P100" t="str" cm="1">
        <f t="array" ref="P100">IF(IFERROR(MIN(_xlfn._xlws.FILTER(Tabla1[[#Data],[AcZ]],Tabla1[[ID]:[ID]]=$A100,0)),"")=0,"",IFERROR(MIN(_xlfn._xlws.FILTER(Tabla1[[#Data],[AcZ]],Tabla1[[ID]:[ID]]=$A100,0)),""))</f>
        <v/>
      </c>
      <c r="Q100" t="str" cm="1">
        <f t="array" ref="Q100">IFERROR(AVERAGE(_xlfn._xlws.FILTER(Tabla1[[#Data],[GyX]],Tabla1[[ID]:[ID]]=$A100,0)),"")</f>
        <v/>
      </c>
      <c r="R100" t="str" cm="1">
        <f t="array" ref="R100">IF(IFERROR(MAX(_xlfn._xlws.FILTER(Tabla1[[#Data],[GyX]],Tabla1[[ID]:[ID]]=$A100,0)),"")=0,"",IFERROR(MAX(_xlfn._xlws.FILTER(Tabla1[[#Data],[GyX]],Tabla1[[ID]:[ID]]=$A100,0)),""))</f>
        <v/>
      </c>
      <c r="S100" t="str" cm="1">
        <f t="array" ref="S100">IF(IFERROR(MIN(_xlfn._xlws.FILTER(Tabla1[[#Data],[GyX]],Tabla1[[ID]:[ID]]=$A100,0)),"")=0,"",IFERROR(MIN(_xlfn._xlws.FILTER(Tabla1[[#Data],[GyX]],Tabla1[[ID]:[ID]]=$A100,0)),""))</f>
        <v/>
      </c>
      <c r="T100" t="str" cm="1">
        <f t="array" ref="T100">IFERROR(AVERAGE(_xlfn._xlws.FILTER(Tabla1[[#Data],[GyY]],Tabla1[[ID]:[ID]]=$A100,0)),"")</f>
        <v/>
      </c>
      <c r="U100" t="str" cm="1">
        <f t="array" ref="U100">IF(IFERROR(MAX(_xlfn._xlws.FILTER(Tabla1[[#Data],[GyY]],Tabla1[[ID]:[ID]]=$A100,0)),"")=0,"",IFERROR(MAX(_xlfn._xlws.FILTER(Tabla1[[#Data],[GyY]],Tabla1[[ID]:[ID]]=$A100,0)),""))</f>
        <v/>
      </c>
      <c r="V100" t="str" cm="1">
        <f t="array" ref="V100">IF(IFERROR(MIN(_xlfn._xlws.FILTER(Tabla1[[#Data],[GyY]],Tabla1[[ID]:[ID]]=$A100,0)),"")=0,"",IFERROR(MIN(_xlfn._xlws.FILTER(Tabla1[[#Data],[GyY]],Tabla1[[ID]:[ID]]=$A100,0)),""))</f>
        <v/>
      </c>
      <c r="W100" t="str" cm="1">
        <f t="array" ref="W100">IFERROR(AVERAGE(_xlfn._xlws.FILTER(Tabla1[[#Data],[GyZ]],Tabla1[[ID]:[ID]]=$A100,0)),"")</f>
        <v/>
      </c>
      <c r="X100" t="str" cm="1">
        <f t="array" ref="X100">IF(IFERROR(MAX(_xlfn._xlws.FILTER(Tabla1[[#Data],[GyZ]],Tabla1[[ID]:[ID]]=$A100,0)),"")=0,"",IFERROR(MAX(_xlfn._xlws.FILTER(Tabla1[[#Data],[GyZ]],Tabla1[[ID]:[ID]]=$A100,0)),""))</f>
        <v/>
      </c>
      <c r="Y100" t="str" cm="1">
        <f t="array" ref="Y100">IF(IFERROR(MIN(_xlfn._xlws.FILTER(Tabla1[[#Data],[GyZ]],Tabla1[[ID]:[ID]]=$A100,0)),"")=0,"",IFERROR(MIN(_xlfn._xlws.FILTER(Tabla1[[#Data],[GyZ]],Tabla1[[ID]:[ID]]=$A100,0)),""))</f>
        <v/>
      </c>
      <c r="Z100" t="str" cm="1">
        <f t="array" ref="Z100">IF(ISNUMBER(A100),IF(ISNUMBER(MATCH(1,_xlfn._xlws.FILTER(Tabla1[[#Data],[Open]],Tabla1[[ID]:[ID]]=$A100,""))),1,0),"")</f>
        <v/>
      </c>
      <c r="AA100" t="str">
        <f t="shared" si="10"/>
        <v/>
      </c>
      <c r="AB100" t="str">
        <f t="shared" si="11"/>
        <v/>
      </c>
      <c r="AC100" t="str">
        <f t="shared" si="12"/>
        <v/>
      </c>
      <c r="AD100" t="str">
        <f t="shared" si="13"/>
        <v/>
      </c>
      <c r="AE100" t="str">
        <f t="shared" si="14"/>
        <v/>
      </c>
      <c r="AF100" t="str">
        <f t="shared" si="15"/>
        <v/>
      </c>
      <c r="AG100" t="str">
        <f t="shared" si="16"/>
        <v/>
      </c>
      <c r="AH100" t="str">
        <f t="shared" si="17"/>
        <v/>
      </c>
      <c r="AI100" t="str">
        <f t="shared" si="18"/>
        <v/>
      </c>
      <c r="AJ100" t="str">
        <f t="shared" si="19"/>
        <v/>
      </c>
    </row>
    <row r="101" spans="2:36" x14ac:dyDescent="0.35">
      <c r="B101" t="str" cm="1">
        <f t="array" ref="B101">IFERROR(AVERAGE(_xlfn._xlws.FILTER(Tabla1[[#Data],[Temperatura]],Tabla1[[#Data],[ID]]=A101,0)),"")</f>
        <v/>
      </c>
    </row>
    <row r="102" spans="2:36" x14ac:dyDescent="0.35">
      <c r="B102" t="str" cm="1">
        <f t="array" ref="B102">IFERROR(AVERAGE(_xlfn._xlws.FILTER(Tabla1[[#Data],[Temperatura]],Tabla1[[#Data],[ID]]=A102,0)),"")</f>
        <v/>
      </c>
    </row>
    <row r="103" spans="2:36" x14ac:dyDescent="0.35">
      <c r="B103" t="str" cm="1">
        <f t="array" ref="B103">IFERROR(AVERAGE(_xlfn._xlws.FILTER(Tabla1[[#Data],[Temperatura]],Tabla1[[#Data],[ID]]=A103,0)),"")</f>
        <v/>
      </c>
    </row>
    <row r="104" spans="2:36" x14ac:dyDescent="0.35">
      <c r="B104" t="str" cm="1">
        <f t="array" ref="B104">IFERROR(AVERAGE(_xlfn._xlws.FILTER(Tabla1[[#Data],[Temperatura]],Tabla1[[#Data],[ID]]=A104,0)),"")</f>
        <v/>
      </c>
    </row>
    <row r="105" spans="2:36" x14ac:dyDescent="0.35">
      <c r="B105" t="str" cm="1">
        <f t="array" ref="B105">IFERROR(AVERAGE(_xlfn._xlws.FILTER(Tabla1[[#Data],[Temperatura]],Tabla1[[#Data],[ID]]=A105,0)),"")</f>
        <v/>
      </c>
    </row>
    <row r="106" spans="2:36" x14ac:dyDescent="0.35">
      <c r="B106" t="str" cm="1">
        <f t="array" ref="B106">IFERROR(AVERAGE(_xlfn._xlws.FILTER(Tabla1[[#Data],[Temperatura]],Tabla1[[#Data],[ID]]=A106,0)),"")</f>
        <v/>
      </c>
    </row>
    <row r="107" spans="2:36" x14ac:dyDescent="0.35">
      <c r="B107" t="str" cm="1">
        <f t="array" ref="B107">IFERROR(AVERAGE(_xlfn._xlws.FILTER(Tabla1[[#Data],[Temperatura]],Tabla1[[#Data],[ID]]=A107,0)),"")</f>
        <v/>
      </c>
    </row>
    <row r="108" spans="2:36" x14ac:dyDescent="0.35">
      <c r="B108" t="str" cm="1">
        <f t="array" ref="B108">IFERROR(AVERAGE(_xlfn._xlws.FILTER(Tabla1[[#Data],[Temperatura]],Tabla1[[#Data],[ID]]=A108,0)),"")</f>
        <v/>
      </c>
    </row>
    <row r="109" spans="2:36" x14ac:dyDescent="0.35">
      <c r="B109" t="str" cm="1">
        <f t="array" ref="B109">IFERROR(AVERAGE(_xlfn._xlws.FILTER(Tabla1[[#Data],[Temperatura]],Tabla1[[#Data],[ID]]=A109,0)),"")</f>
        <v/>
      </c>
    </row>
    <row r="110" spans="2:36" x14ac:dyDescent="0.35">
      <c r="B110" t="str" cm="1">
        <f t="array" ref="B110">IFERROR(AVERAGE(_xlfn._xlws.FILTER(Tabla1[[#Data],[Temperatura]],Tabla1[[#Data],[ID]]=A110,0)),"")</f>
        <v/>
      </c>
    </row>
    <row r="111" spans="2:36" x14ac:dyDescent="0.35">
      <c r="B111" t="str" cm="1">
        <f t="array" ref="B111">IFERROR(AVERAGE(_xlfn._xlws.FILTER(Tabla1[[#Data],[Temperatura]],Tabla1[[#Data],[ID]]=A111,0)),"")</f>
        <v/>
      </c>
    </row>
    <row r="112" spans="2:36" x14ac:dyDescent="0.35">
      <c r="B112" t="str" cm="1">
        <f t="array" ref="B112">IFERROR(AVERAGE(_xlfn._xlws.FILTER(Tabla1[[#Data],[Temperatura]],Tabla1[[#Data],[ID]]=A112,0)),"")</f>
        <v/>
      </c>
    </row>
    <row r="113" spans="2:2" x14ac:dyDescent="0.35">
      <c r="B113" t="str" cm="1">
        <f t="array" ref="B113">IFERROR(AVERAGE(_xlfn._xlws.FILTER(Tabla1[[#Data],[Temperatura]],Tabla1[[#Data],[ID]]=A113,0)),"")</f>
        <v/>
      </c>
    </row>
    <row r="114" spans="2:2" x14ac:dyDescent="0.35">
      <c r="B114" t="str" cm="1">
        <f t="array" ref="B114">IFERROR(AVERAGE(_xlfn._xlws.FILTER(Tabla1[[#Data],[Temperatura]],Tabla1[[#Data],[ID]]=A114,0)),"")</f>
        <v/>
      </c>
    </row>
    <row r="115" spans="2:2" x14ac:dyDescent="0.35">
      <c r="B115" t="str" cm="1">
        <f t="array" ref="B115">IFERROR(AVERAGE(_xlfn._xlws.FILTER(Tabla1[[#Data],[Temperatura]],Tabla1[[#Data],[ID]]=A115,0)),"")</f>
        <v/>
      </c>
    </row>
    <row r="116" spans="2:2" x14ac:dyDescent="0.35">
      <c r="B116" t="str" cm="1">
        <f t="array" ref="B116">IFERROR(AVERAGE(_xlfn._xlws.FILTER(Tabla1[[#Data],[Temperatura]],Tabla1[[#Data],[ID]]=A116,0)),"")</f>
        <v/>
      </c>
    </row>
    <row r="117" spans="2:2" x14ac:dyDescent="0.35">
      <c r="B117" t="str" cm="1">
        <f t="array" ref="B117">IFERROR(AVERAGE(_xlfn._xlws.FILTER(Tabla1[[#Data],[Temperatura]],Tabla1[[#Data],[ID]]=A117,0)),"")</f>
        <v/>
      </c>
    </row>
    <row r="118" spans="2:2" x14ac:dyDescent="0.35">
      <c r="B118" t="str" cm="1">
        <f t="array" ref="B118">IFERROR(AVERAGE(_xlfn._xlws.FILTER(Tabla1[[#Data],[Temperatura]],Tabla1[[#Data],[ID]]=A118,0)),"")</f>
        <v/>
      </c>
    </row>
    <row r="119" spans="2:2" x14ac:dyDescent="0.35">
      <c r="B119" t="str" cm="1">
        <f t="array" ref="B119">IFERROR(AVERAGE(_xlfn._xlws.FILTER(Tabla1[[#Data],[Temperatura]],Tabla1[[#Data],[ID]]=A119,0)),"")</f>
        <v/>
      </c>
    </row>
    <row r="120" spans="2:2" x14ac:dyDescent="0.35">
      <c r="B120" t="str" cm="1">
        <f t="array" ref="B120">IFERROR(AVERAGE(_xlfn._xlws.FILTER(Tabla1[[#Data],[Temperatura]],Tabla1[[#Data],[ID]]=A120,0)),"")</f>
        <v/>
      </c>
    </row>
    <row r="121" spans="2:2" x14ac:dyDescent="0.35">
      <c r="B121" t="str" cm="1">
        <f t="array" ref="B121">IFERROR(AVERAGE(_xlfn._xlws.FILTER(Tabla1[[#Data],[Temperatura]],Tabla1[[#Data],[ID]]=A121,0)),"")</f>
        <v/>
      </c>
    </row>
    <row r="122" spans="2:2" x14ac:dyDescent="0.35">
      <c r="B122" t="str" cm="1">
        <f t="array" ref="B122">IFERROR(AVERAGE(_xlfn._xlws.FILTER(Tabla1[[#Data],[Temperatura]],Tabla1[[#Data],[ID]]=A122,0)),"")</f>
        <v/>
      </c>
    </row>
    <row r="123" spans="2:2" x14ac:dyDescent="0.35">
      <c r="B123" t="str" cm="1">
        <f t="array" ref="B123">IFERROR(AVERAGE(_xlfn._xlws.FILTER(Tabla1[[#Data],[Temperatura]],Tabla1[[#Data],[ID]]=A123,0)),"")</f>
        <v/>
      </c>
    </row>
    <row r="124" spans="2:2" x14ac:dyDescent="0.35">
      <c r="B124" t="str" cm="1">
        <f t="array" ref="B124">IFERROR(AVERAGE(_xlfn._xlws.FILTER(Tabla1[[#Data],[Temperatura]],Tabla1[[#Data],[ID]]=A124,0)),"")</f>
        <v/>
      </c>
    </row>
    <row r="125" spans="2:2" x14ac:dyDescent="0.35">
      <c r="B125" t="str" cm="1">
        <f t="array" ref="B125">IFERROR(AVERAGE(_xlfn._xlws.FILTER(Tabla1[[#Data],[Temperatura]],Tabla1[[#Data],[ID]]=A125,0)),"")</f>
        <v/>
      </c>
    </row>
    <row r="126" spans="2:2" x14ac:dyDescent="0.35">
      <c r="B126" t="str" cm="1">
        <f t="array" ref="B126">IFERROR(AVERAGE(_xlfn._xlws.FILTER(Tabla1[[#Data],[Temperatura]],Tabla1[[#Data],[ID]]=A126,0)),"")</f>
        <v/>
      </c>
    </row>
    <row r="127" spans="2:2" x14ac:dyDescent="0.35">
      <c r="B127" t="str" cm="1">
        <f t="array" ref="B127">IFERROR(AVERAGE(_xlfn._xlws.FILTER(Tabla1[[#Data],[Temperatura]],Tabla1[[#Data],[ID]]=A127,0)),"")</f>
        <v/>
      </c>
    </row>
    <row r="128" spans="2:2" x14ac:dyDescent="0.35">
      <c r="B128" t="str" cm="1">
        <f t="array" ref="B128">IFERROR(AVERAGE(_xlfn._xlws.FILTER(Tabla1[[#Data],[Temperatura]],Tabla1[[#Data],[ID]]=A128,0)),"")</f>
        <v/>
      </c>
    </row>
    <row r="129" spans="2:2" x14ac:dyDescent="0.35">
      <c r="B129" t="str" cm="1">
        <f t="array" ref="B129">IFERROR(AVERAGE(_xlfn._xlws.FILTER(Tabla1[[#Data],[Temperatura]],Tabla1[[#Data],[ID]]=A129,0)),"")</f>
        <v/>
      </c>
    </row>
    <row r="130" spans="2:2" x14ac:dyDescent="0.35">
      <c r="B130" t="str" cm="1">
        <f t="array" ref="B130">IFERROR(AVERAGE(_xlfn._xlws.FILTER(Tabla1[[#Data],[Temperatura]],Tabla1[[#Data],[ID]]=A130,0)),"")</f>
        <v/>
      </c>
    </row>
    <row r="131" spans="2:2" x14ac:dyDescent="0.35">
      <c r="B131" t="str" cm="1">
        <f t="array" ref="B131">IFERROR(AVERAGE(_xlfn._xlws.FILTER(Tabla1[[#Data],[Temperatura]],Tabla1[[#Data],[ID]]=A131,0)),"")</f>
        <v/>
      </c>
    </row>
    <row r="132" spans="2:2" x14ac:dyDescent="0.35">
      <c r="B132" t="str" cm="1">
        <f t="array" ref="B132">IFERROR(AVERAGE(_xlfn._xlws.FILTER(Tabla1[[#Data],[Temperatura]],Tabla1[[#Data],[ID]]=A132,0)),"")</f>
        <v/>
      </c>
    </row>
    <row r="133" spans="2:2" x14ac:dyDescent="0.35">
      <c r="B133" t="str" cm="1">
        <f t="array" ref="B133">IFERROR(AVERAGE(_xlfn._xlws.FILTER(Tabla1[[#Data],[Temperatura]],Tabla1[[#Data],[ID]]=A133,0)),"")</f>
        <v/>
      </c>
    </row>
    <row r="134" spans="2:2" x14ac:dyDescent="0.35">
      <c r="B134" t="str" cm="1">
        <f t="array" ref="B134">IFERROR(AVERAGE(_xlfn._xlws.FILTER(Tabla1[[#Data],[Temperatura]],Tabla1[[#Data],[ID]]=A134,0)),"")</f>
        <v/>
      </c>
    </row>
    <row r="135" spans="2:2" x14ac:dyDescent="0.35">
      <c r="B135" t="str" cm="1">
        <f t="array" ref="B135">IFERROR(AVERAGE(_xlfn._xlws.FILTER(Tabla1[[#Data],[Temperatura]],Tabla1[[#Data],[ID]]=A135,0)),"")</f>
        <v/>
      </c>
    </row>
    <row r="136" spans="2:2" x14ac:dyDescent="0.35">
      <c r="B136" t="str" cm="1">
        <f t="array" ref="B136">IFERROR(AVERAGE(_xlfn._xlws.FILTER(Tabla1[[#Data],[Temperatura]],Tabla1[[#Data],[ID]]=A136,0)),"")</f>
        <v/>
      </c>
    </row>
    <row r="137" spans="2:2" x14ac:dyDescent="0.35">
      <c r="B137" t="str" cm="1">
        <f t="array" ref="B137">IFERROR(AVERAGE(_xlfn._xlws.FILTER(Tabla1[[#Data],[Temperatura]],Tabla1[[#Data],[ID]]=A137,0)),"")</f>
        <v/>
      </c>
    </row>
    <row r="138" spans="2:2" x14ac:dyDescent="0.35">
      <c r="B138" t="str" cm="1">
        <f t="array" ref="B138">IFERROR(AVERAGE(_xlfn._xlws.FILTER(Tabla1[[#Data],[Temperatura]],Tabla1[[#Data],[ID]]=A138,0)),"")</f>
        <v/>
      </c>
    </row>
    <row r="139" spans="2:2" x14ac:dyDescent="0.35">
      <c r="B139" t="str" cm="1">
        <f t="array" ref="B139">IFERROR(AVERAGE(_xlfn._xlws.FILTER(Tabla1[[#Data],[Temperatura]],Tabla1[[#Data],[ID]]=A139,0)),"")</f>
        <v/>
      </c>
    </row>
    <row r="140" spans="2:2" x14ac:dyDescent="0.35">
      <c r="B140" t="str" cm="1">
        <f t="array" ref="B140">IFERROR(AVERAGE(_xlfn._xlws.FILTER(Tabla1[[#Data],[Temperatura]],Tabla1[[#Data],[ID]]=A140,0)),"")</f>
        <v/>
      </c>
    </row>
    <row r="141" spans="2:2" x14ac:dyDescent="0.35">
      <c r="B141" t="str" cm="1">
        <f t="array" ref="B141">IFERROR(AVERAGE(_xlfn._xlws.FILTER(Tabla1[[#Data],[Temperatura]],Tabla1[[#Data],[ID]]=A141,0)),"")</f>
        <v/>
      </c>
    </row>
    <row r="142" spans="2:2" x14ac:dyDescent="0.35">
      <c r="B142" t="str" cm="1">
        <f t="array" ref="B142">IFERROR(AVERAGE(_xlfn._xlws.FILTER(Tabla1[[#Data],[Temperatura]],Tabla1[[#Data],[ID]]=A142,0)),"")</f>
        <v/>
      </c>
    </row>
    <row r="143" spans="2:2" x14ac:dyDescent="0.35">
      <c r="B143" t="str" cm="1">
        <f t="array" ref="B143">IFERROR(AVERAGE(_xlfn._xlws.FILTER(Tabla1[[#Data],[Temperatura]],Tabla1[[#Data],[ID]]=A143,0)),"")</f>
        <v/>
      </c>
    </row>
  </sheetData>
  <conditionalFormatting sqref="AA1:AK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531F0-4FA3-4720-9D77-0A0960EB167A}">
  <sheetPr codeName="Hoja4"/>
  <dimension ref="B2:C2"/>
  <sheetViews>
    <sheetView tabSelected="1" workbookViewId="0">
      <selection activeCell="D6" sqref="D6"/>
    </sheetView>
  </sheetViews>
  <sheetFormatPr baseColWidth="10" defaultColWidth="8.7265625" defaultRowHeight="14.5" x14ac:dyDescent="0.35"/>
  <cols>
    <col min="2" max="2" width="12.36328125" bestFit="1" customWidth="1"/>
    <col min="3" max="3" width="14.7265625" bestFit="1" customWidth="1"/>
  </cols>
  <sheetData>
    <row r="2" spans="2:3" x14ac:dyDescent="0.35">
      <c r="B2" t="s">
        <v>49</v>
      </c>
      <c r="C2" t="s">
        <v>50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Visualize">
                <anchor moveWithCells="1" sizeWithCells="1">
                  <from>
                    <xdr:col>1</xdr:col>
                    <xdr:colOff>63500</xdr:colOff>
                    <xdr:row>2</xdr:row>
                    <xdr:rowOff>57150</xdr:rowOff>
                  </from>
                  <to>
                    <xdr:col>1</xdr:col>
                    <xdr:colOff>787400</xdr:colOff>
                    <xdr:row>3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ArduinoData">
                <anchor moveWithCells="1" sizeWithCells="1">
                  <from>
                    <xdr:col>2</xdr:col>
                    <xdr:colOff>57150</xdr:colOff>
                    <xdr:row>2</xdr:row>
                    <xdr:rowOff>57150</xdr:rowOff>
                  </from>
                  <to>
                    <xdr:col>2</xdr:col>
                    <xdr:colOff>939800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SimpleData</vt:lpstr>
      <vt:lpstr>ProcesamentoDados</vt:lpstr>
      <vt:lpstr>Consulta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Bárbara Falcão</dc:creator>
  <cp:lastModifiedBy>Christian Leonard</cp:lastModifiedBy>
  <dcterms:created xsi:type="dcterms:W3CDTF">2022-06-14T00:08:38Z</dcterms:created>
  <dcterms:modified xsi:type="dcterms:W3CDTF">2022-06-21T09:08:38Z</dcterms:modified>
</cp:coreProperties>
</file>